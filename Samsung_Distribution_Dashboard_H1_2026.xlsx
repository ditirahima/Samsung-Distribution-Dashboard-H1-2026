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reelancer\Project\Excel data\Top 5 Brand\Claude Analysis\Samsung\"/>
    </mc:Choice>
  </mc:AlternateContent>
  <xr:revisionPtr revIDLastSave="0" documentId="13_ncr:1_{508AB95B-A068-47EA-9EA4-D6F57226FB80}" xr6:coauthVersionLast="47" xr6:coauthVersionMax="47" xr10:uidLastSave="{00000000-0000-0000-0000-000000000000}"/>
  <bookViews>
    <workbookView xWindow="-110" yWindow="-110" windowWidth="19420" windowHeight="11500" tabRatio="818" xr2:uid="{00000000-000D-0000-FFFF-FFFF00000000}"/>
  </bookViews>
  <sheets>
    <sheet name="Executive Dashboard" sheetId="1" r:id="rId1"/>
    <sheet name="Inventory &amp; Safety Stock" sheetId="2" r:id="rId2"/>
    <sheet name="Lead Time &amp; Bottleneck" sheetId="3" r:id="rId3"/>
    <sheet name="DC Branch Performance" sheetId="4" r:id="rId4"/>
    <sheet name="Sourc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" i="4" l="1"/>
  <c r="F11" i="4"/>
  <c r="E11" i="4"/>
  <c r="D11" i="4"/>
  <c r="C11" i="4"/>
  <c r="B11" i="4"/>
  <c r="I30" i="3"/>
  <c r="H30" i="3"/>
  <c r="I29" i="3"/>
  <c r="H29" i="3"/>
  <c r="I28" i="3"/>
  <c r="H28" i="3"/>
  <c r="H23" i="3"/>
  <c r="F23" i="3"/>
  <c r="E23" i="3"/>
  <c r="D23" i="3"/>
  <c r="C23" i="3"/>
  <c r="B23" i="3"/>
  <c r="H22" i="3"/>
  <c r="G22" i="3"/>
  <c r="F22" i="3"/>
  <c r="E22" i="3"/>
  <c r="H21" i="3"/>
  <c r="G21" i="3"/>
  <c r="F21" i="3"/>
  <c r="E21" i="3"/>
  <c r="H20" i="3"/>
  <c r="G20" i="3"/>
  <c r="F20" i="3"/>
  <c r="E20" i="3"/>
  <c r="H19" i="3"/>
  <c r="G19" i="3"/>
  <c r="F19" i="3"/>
  <c r="E19" i="3"/>
  <c r="H18" i="3"/>
  <c r="G18" i="3"/>
  <c r="F18" i="3"/>
  <c r="E18" i="3"/>
  <c r="H17" i="3"/>
  <c r="F17" i="3"/>
  <c r="E17" i="3"/>
  <c r="H12" i="3"/>
  <c r="G12" i="3"/>
  <c r="E12" i="3"/>
  <c r="D12" i="3"/>
  <c r="C12" i="3"/>
  <c r="B12" i="3"/>
  <c r="I11" i="3"/>
  <c r="F11" i="3"/>
  <c r="I10" i="3"/>
  <c r="F10" i="3"/>
  <c r="I9" i="3"/>
  <c r="F9" i="3"/>
  <c r="I8" i="3"/>
  <c r="F8" i="3"/>
  <c r="I7" i="3"/>
  <c r="F7" i="3"/>
  <c r="F12" i="3" s="1"/>
  <c r="I6" i="3"/>
  <c r="I12" i="3" s="1"/>
  <c r="F6" i="3"/>
  <c r="J35" i="2"/>
  <c r="I35" i="2"/>
  <c r="H35" i="2"/>
  <c r="G35" i="2"/>
  <c r="F35" i="2"/>
  <c r="E35" i="2"/>
  <c r="D35" i="2"/>
  <c r="C35" i="2"/>
  <c r="B35" i="2"/>
  <c r="J24" i="2"/>
  <c r="I24" i="2"/>
  <c r="E24" i="2"/>
  <c r="D24" i="2"/>
  <c r="C24" i="2"/>
  <c r="B24" i="2"/>
  <c r="K23" i="2"/>
  <c r="H23" i="2"/>
  <c r="G23" i="2"/>
  <c r="F23" i="2"/>
  <c r="K22" i="2"/>
  <c r="H22" i="2"/>
  <c r="G22" i="2"/>
  <c r="F22" i="2"/>
  <c r="K21" i="2"/>
  <c r="H21" i="2"/>
  <c r="G21" i="2"/>
  <c r="F21" i="2"/>
  <c r="K20" i="2"/>
  <c r="H20" i="2"/>
  <c r="G20" i="2"/>
  <c r="F20" i="2"/>
  <c r="K19" i="2"/>
  <c r="K24" i="2" s="1"/>
  <c r="H19" i="2"/>
  <c r="H24" i="2" s="1"/>
  <c r="G19" i="2"/>
  <c r="G24" i="2" s="1"/>
  <c r="F19" i="2"/>
  <c r="F24" i="2" s="1"/>
  <c r="E28" i="1"/>
  <c r="C28" i="1"/>
  <c r="D28" i="1" s="1"/>
  <c r="B28" i="1"/>
  <c r="G28" i="1" s="1"/>
  <c r="H27" i="1"/>
  <c r="G27" i="1"/>
  <c r="F27" i="1"/>
  <c r="H26" i="1"/>
  <c r="G26" i="1"/>
  <c r="F26" i="1"/>
  <c r="H25" i="1"/>
  <c r="G25" i="1"/>
  <c r="F25" i="1"/>
  <c r="H24" i="1"/>
  <c r="G24" i="1"/>
  <c r="F24" i="1"/>
  <c r="H23" i="1"/>
  <c r="H28" i="1" s="1"/>
  <c r="G23" i="1"/>
  <c r="F23" i="1"/>
  <c r="H22" i="1"/>
  <c r="G22" i="1"/>
  <c r="J17" i="1"/>
  <c r="I17" i="1"/>
  <c r="H17" i="1"/>
  <c r="G17" i="1"/>
  <c r="F17" i="1"/>
  <c r="E17" i="1"/>
  <c r="D17" i="1"/>
  <c r="C17" i="1"/>
  <c r="B17" i="1"/>
</calcChain>
</file>

<file path=xl/sharedStrings.xml><?xml version="1.0" encoding="utf-8"?>
<sst xmlns="http://schemas.openxmlformats.org/spreadsheetml/2006/main" count="461" uniqueCount="257">
  <si>
    <t xml:space="preserve">  Samsung Electronics  —  Global Distribution Network Dashboard  |  H1 2026</t>
  </si>
  <si>
    <t xml:space="preserve">  Period: Jan – Jun 2026   |   Currency: USD millions   |   45 DC Branches · 15 Countries · 5 Regions</t>
  </si>
  <si>
    <t>TOTAL H1 REVENUE</t>
  </si>
  <si>
    <t>SHIPMENT VOLUME</t>
  </si>
  <si>
    <t>AVG ON-TIME DELIVERY</t>
  </si>
  <si>
    <t>AVG LEAD TIME</t>
  </si>
  <si>
    <t>INVENTORY TURNS</t>
  </si>
  <si>
    <t>▲ +22.9% Jan→Jun</t>
  </si>
  <si>
    <t>6-month cumulative</t>
  </si>
  <si>
    <t>N. America best: 94.3%</t>
  </si>
  <si>
    <t>⚠ Display: 9.0d peak</t>
  </si>
  <si>
    <t>All categories balanced</t>
  </si>
  <si>
    <t xml:space="preserve">  REGIONAL DISTRIBUTION NETWORK PERFORMANCE</t>
  </si>
  <si>
    <t>Region</t>
  </si>
  <si>
    <t>Revenue ($mm)</t>
  </si>
  <si>
    <t>Ship Vol (000)</t>
  </si>
  <si>
    <t>Avg Lead (d)</t>
  </si>
  <si>
    <t>OTD Rate</t>
  </si>
  <si>
    <t>Delay Rate</t>
  </si>
  <si>
    <t>Inv Turns</t>
  </si>
  <si>
    <t>Buffer (d)</t>
  </si>
  <si>
    <t>DC Branches</t>
  </si>
  <si>
    <t>Rev/Branch ($mm)</t>
  </si>
  <si>
    <t>Capacity</t>
  </si>
  <si>
    <t>Priority</t>
  </si>
  <si>
    <t>Data Source Reference</t>
  </si>
  <si>
    <t>Asia Pacific</t>
  </si>
  <si>
    <t>Tight</t>
  </si>
  <si>
    <t>Critical</t>
  </si>
  <si>
    <t>Delivery_Shipment / Branch Directory / Supply Chain Report</t>
  </si>
  <si>
    <t>North America</t>
  </si>
  <si>
    <t>Normal</t>
  </si>
  <si>
    <t>Sustain</t>
  </si>
  <si>
    <t>Europe</t>
  </si>
  <si>
    <t>Optimise</t>
  </si>
  <si>
    <t>Latin America</t>
  </si>
  <si>
    <t>Expand</t>
  </si>
  <si>
    <t>Mid East &amp; Africa</t>
  </si>
  <si>
    <t>Consolidate</t>
  </si>
  <si>
    <t>TOTAL / BLENDED</t>
  </si>
  <si>
    <t>All sources — see Sources sheet</t>
  </si>
  <si>
    <t xml:space="preserve">  MONTHLY REVENUE &amp; PERFORMANCE TREND  (Jan – Jun 2026)</t>
  </si>
  <si>
    <t>Month</t>
  </si>
  <si>
    <t>Contrib Profit ($mm)</t>
  </si>
  <si>
    <t>Margin %</t>
  </si>
  <si>
    <t>Ship Volume (000)</t>
  </si>
  <si>
    <t>MoM Rev Δ</t>
  </si>
  <si>
    <t>Cum Rev ($mm)</t>
  </si>
  <si>
    <t>Rev vs Budget ($mm)</t>
  </si>
  <si>
    <t>Jan-2026</t>
  </si>
  <si>
    <t>N/A</t>
  </si>
  <si>
    <t>Summary by Month sheet</t>
  </si>
  <si>
    <t>Feb-2026</t>
  </si>
  <si>
    <t>Mar-2026</t>
  </si>
  <si>
    <t>Apr-2026</t>
  </si>
  <si>
    <t>May-2026</t>
  </si>
  <si>
    <t>Jun-2026</t>
  </si>
  <si>
    <t>TOTAL</t>
  </si>
  <si>
    <t>All periods</t>
  </si>
  <si>
    <t>This analysis is for demonstration purposes based on modeled data. Internal Samsung Electronics disclosures may differ.</t>
  </si>
  <si>
    <t>Prepared by: Rahima Akter Diti</t>
  </si>
  <si>
    <t xml:space="preserve">  Samsung Electronics  —  Inventory Optimization &amp; Safety Stock Model  |  H1 2026</t>
  </si>
  <si>
    <t xml:space="preserve">  Safety Stock = Z·σ_demand·√(Lead Time) + Z·μ_demand·σ_LT   |   Target Service Level: 95%  (Z = 1.65)</t>
  </si>
  <si>
    <t xml:space="preserve">  MODEL ASSUMPTIONS  (Blue = Adjustable Inputs)</t>
  </si>
  <si>
    <t>Parameter</t>
  </si>
  <si>
    <t>Value</t>
  </si>
  <si>
    <t>Format</t>
  </si>
  <si>
    <t>Source / Notes</t>
  </si>
  <si>
    <t>Z-Score (95th Pct Service Level)</t>
  </si>
  <si>
    <t>0.00</t>
  </si>
  <si>
    <t>Standard normal inverse @ 95%</t>
  </si>
  <si>
    <t>Planning Horizon (days)</t>
  </si>
  <si>
    <t>0</t>
  </si>
  <si>
    <t>H1 2026 = 6 months</t>
  </si>
  <si>
    <t>Blended Avg Lead Time (days)</t>
  </si>
  <si>
    <t>0.0</t>
  </si>
  <si>
    <t>Source: Delivery_Shipment sheet</t>
  </si>
  <si>
    <t>Lead Time Std Dev (σ_LT, days)</t>
  </si>
  <si>
    <t>0.000</t>
  </si>
  <si>
    <t>Foundry/Consumer categories</t>
  </si>
  <si>
    <t>Display/Harman σ_LT (days)</t>
  </si>
  <si>
    <t>Highest variance categories</t>
  </si>
  <si>
    <t>Demand Variability (σ_d/μ_d)</t>
  </si>
  <si>
    <t>0.0%</t>
  </si>
  <si>
    <t>Blended demand coefficient</t>
  </si>
  <si>
    <t>WACC / Holding Cost Rate</t>
  </si>
  <si>
    <t>Annual carrying cost proxy</t>
  </si>
  <si>
    <t>Target Inventory Turns</t>
  </si>
  <si>
    <t>Achieved H1 — all categories balanced</t>
  </si>
  <si>
    <t>Cross-dock Efficiency Factor</t>
  </si>
  <si>
    <t>Distributor/Retail channel best</t>
  </si>
  <si>
    <t xml:space="preserve">  SAFETY STOCK &amp; REORDER POINT BY REGION</t>
  </si>
  <si>
    <t>H1 Revenue ($mm)</t>
  </si>
  <si>
    <t>Avg Daily Vol (000)</t>
  </si>
  <si>
    <t>Lead Time (d)</t>
  </si>
  <si>
    <t>σ Demand (000)</t>
  </si>
  <si>
    <t>Safety Stock (000)</t>
  </si>
  <si>
    <t>Reorder Point (000)</t>
  </si>
  <si>
    <t>Hold Cost ($mm/yr)</t>
  </si>
  <si>
    <t>Buffer Days</t>
  </si>
  <si>
    <t>Optimal Buffer (d)</t>
  </si>
  <si>
    <t>Efficiency Score</t>
  </si>
  <si>
    <t>Status</t>
  </si>
  <si>
    <t>APAC expansion needed</t>
  </si>
  <si>
    <t>Delivery_Shipment / Inventory_Product_Service</t>
  </si>
  <si>
    <t>Sustain — highest throughput</t>
  </si>
  <si>
    <t>Optimise feeder lanes</t>
  </si>
  <si>
    <t>Add Brazil DC node</t>
  </si>
  <si>
    <t>Consolidate 9→6 DCs</t>
  </si>
  <si>
    <t>All sources</t>
  </si>
  <si>
    <t xml:space="preserve">  CATEGORY INVENTORY STATUS  (H1 2026)</t>
  </si>
  <si>
    <t>Category</t>
  </si>
  <si>
    <t>Opening Inv (000)</t>
  </si>
  <si>
    <t>Closing Inv (000)</t>
  </si>
  <si>
    <t>Sold (000)</t>
  </si>
  <si>
    <t>Safety Buffer %</t>
  </si>
  <si>
    <t>Lead σ</t>
  </si>
  <si>
    <t>Cost Ratio</t>
  </si>
  <si>
    <t>CLV Priority</t>
  </si>
  <si>
    <t>Risk</t>
  </si>
  <si>
    <t>Memory Semiconductors</t>
  </si>
  <si>
    <t>Critical — protect</t>
  </si>
  <si>
    <t>Low</t>
  </si>
  <si>
    <t>Mobile Experience</t>
  </si>
  <si>
    <t>High — optimise</t>
  </si>
  <si>
    <t>Medium</t>
  </si>
  <si>
    <t>Foundry/System LSI</t>
  </si>
  <si>
    <t>Consumer Electronics</t>
  </si>
  <si>
    <t>Medium — watch</t>
  </si>
  <si>
    <t>Display Panels</t>
  </si>
  <si>
    <t>Watch — high var</t>
  </si>
  <si>
    <t>High</t>
  </si>
  <si>
    <t>Harman / Auto Elec</t>
  </si>
  <si>
    <t>High — cost gap</t>
  </si>
  <si>
    <t xml:space="preserve">  Samsung Electronics  —  Lead Time Variance &amp; Distribution Bottleneck  |  H1 2026</t>
  </si>
  <si>
    <t xml:space="preserve">  Shipping Lane Analysis · Category Variance · Capacity Intelligence · Margin Gap</t>
  </si>
  <si>
    <t xml:space="preserve">  LEAD TIME PERFORMANCE MATRIX BY CATEGORY</t>
  </si>
  <si>
    <t>Std Dev σ</t>
  </si>
  <si>
    <t>Min (d)</t>
  </si>
  <si>
    <t>Max (d)</t>
  </si>
  <si>
    <t>Variance Coeff</t>
  </si>
  <si>
    <t>Delay Vol (000)</t>
  </si>
  <si>
    <t>Delay Impact ($mm)</t>
  </si>
  <si>
    <t>Risk Level</t>
  </si>
  <si>
    <t>Primary Bottleneck</t>
  </si>
  <si>
    <t>Optimization Target</t>
  </si>
  <si>
    <t>Memory fabs stable — volume delays</t>
  </si>
  <si>
    <t>Reduce to 3.5d via DC pre-positioning</t>
  </si>
  <si>
    <t>Delivery_Shipment / Supply Chain Report</t>
  </si>
  <si>
    <t>Carrier staging adds 2d to base</t>
  </si>
  <si>
    <t>Cross-dock 3 DC nodes → target 6.0d</t>
  </si>
  <si>
    <t>Foundry takt time scheduling var</t>
  </si>
  <si>
    <t>Demand signal integration → ±0.5d</t>
  </si>
  <si>
    <t>Multi-SKU assembly delay at DC</t>
  </si>
  <si>
    <t>Consolidate inbound flows → 7.5d</t>
  </si>
  <si>
    <t>OLED fragility: premium handling</t>
  </si>
  <si>
    <t>Modular packaging redesign → ±1.0d</t>
  </si>
  <si>
    <t>Customs complexity: multi-cert</t>
  </si>
  <si>
    <t>Pre-cert bonded warehouse per region</t>
  </si>
  <si>
    <t>BLENDED</t>
  </si>
  <si>
    <t xml:space="preserve">  MONTHLY SHIPMENT TREND</t>
  </si>
  <si>
    <t>Shipment Vol (000)</t>
  </si>
  <si>
    <t>Delayed Vol (000)</t>
  </si>
  <si>
    <t>Cum Vol (000)</t>
  </si>
  <si>
    <t>MoM Vol Δ</t>
  </si>
  <si>
    <t>OTD vs 94% Target</t>
  </si>
  <si>
    <t>Summary by Month / Delivery_Shipment</t>
  </si>
  <si>
    <t xml:space="preserve">  CROSS-DOCKING EFFICIENCY BY CHANNEL</t>
  </si>
  <si>
    <t>Channel</t>
  </si>
  <si>
    <t>Cross-Dock Factor</t>
  </si>
  <si>
    <t>Throughput Score</t>
  </si>
  <si>
    <t>Net Efficiency</t>
  </si>
  <si>
    <t>Recommendation</t>
  </si>
  <si>
    <t>Distributor / Retail</t>
  </si>
  <si>
    <t>Direct-to-shelf: highest cross-dock efficiency</t>
  </si>
  <si>
    <t>Semiconductor OEM</t>
  </si>
  <si>
    <t>Buffer-heavy: fab cycle requires safety stock</t>
  </si>
  <si>
    <t>Carrier / Operator</t>
  </si>
  <si>
    <t>Mid-range: device staging at DC required</t>
  </si>
  <si>
    <t xml:space="preserve">  Samsung Electronics  —  Distribution Centre Branch Performance  |  H1 2026</t>
  </si>
  <si>
    <t xml:space="preserve">  45 Active DC Branches  ·  15 Countries  ·  5 Regions</t>
  </si>
  <si>
    <t xml:space="preserve">  DC PERFORMANCE SUMMARY BY REGION</t>
  </si>
  <si>
    <t>Rev Mix %</t>
  </si>
  <si>
    <t>Supplier Risk</t>
  </si>
  <si>
    <t>Investment Priority</t>
  </si>
  <si>
    <t>Expand China + India DC capacity Q3</t>
  </si>
  <si>
    <t>Sustain — highest Rev/Branch in network</t>
  </si>
  <si>
    <t>Optimise UK/France feeder lanes</t>
  </si>
  <si>
    <t>Add Brazil DC node — volume growth 12%</t>
  </si>
  <si>
    <t>Consolidate 9 thin branches → 6 focal DCs</t>
  </si>
  <si>
    <t xml:space="preserve">  TOP 15 DISTRIBUTION CENTRE BRANCHES BY REVENUE</t>
  </si>
  <si>
    <t>#</t>
  </si>
  <si>
    <t>Branch</t>
  </si>
  <si>
    <t>Country</t>
  </si>
  <si>
    <t>Branch Type</t>
  </si>
  <si>
    <t>Americas HQ - Distributor / Retail</t>
  </si>
  <si>
    <t>United States</t>
  </si>
  <si>
    <t>Retail/Carrier</t>
  </si>
  <si>
    <t>Branch Directory</t>
  </si>
  <si>
    <t>Americas HQ - Carrier / Operator</t>
  </si>
  <si>
    <t>Americas HQ - Semiconductor OEM</t>
  </si>
  <si>
    <t>Semiconductor/OEM</t>
  </si>
  <si>
    <t>APAC Hub - Semiconductor OEM</t>
  </si>
  <si>
    <t>China</t>
  </si>
  <si>
    <t>APAC Hub - Carrier / Operator</t>
  </si>
  <si>
    <t>APAC Hub - Distributor / Retail</t>
  </si>
  <si>
    <t>South Korea</t>
  </si>
  <si>
    <t>India</t>
  </si>
  <si>
    <t>EMEA Hub - Distributor / Retail</t>
  </si>
  <si>
    <t>Germany</t>
  </si>
  <si>
    <t>EMEA Hub - Carrier / Operator</t>
  </si>
  <si>
    <t>EMEA Hub - Semiconductor OEM</t>
  </si>
  <si>
    <t xml:space="preserve">  Samsung Electronics  —  Data Source Reference Register  |  H1 2026</t>
  </si>
  <si>
    <t>Source Name</t>
  </si>
  <si>
    <t>URL / Reference</t>
  </si>
  <si>
    <t>Use in Workbook</t>
  </si>
  <si>
    <t>Reliability</t>
  </si>
  <si>
    <t>Sheets Used</t>
  </si>
  <si>
    <t>Date Accessed</t>
  </si>
  <si>
    <t>Interbrand Best Global Brands 2025</t>
  </si>
  <si>
    <t>https://interbrand.com/best-global-brands/global/</t>
  </si>
  <si>
    <t>Brand ranking; Samsung Rank #5 context</t>
  </si>
  <si>
    <t>Official ranking body</t>
  </si>
  <si>
    <t>All sheets</t>
  </si>
  <si>
    <t>Samsung Q1 2026 Earnings Release</t>
  </si>
  <si>
    <t>https://news.samsung.com/global/samsung-electronics-announces-first-quarter-2026-results</t>
  </si>
  <si>
    <t>Revenue, profit, segment structure Q1 2026</t>
  </si>
  <si>
    <t>Company official</t>
  </si>
  <si>
    <t>Exec Dashboard / Lead Time</t>
  </si>
  <si>
    <t>Samsung Q1 2026 Investor Presentation</t>
  </si>
  <si>
    <t>https://images.samsung.com/is/content/samsung/assets/global/ir/docs/2026_1Q_conference_eng.pdf</t>
  </si>
  <si>
    <t>Division outlook; segment breakdown</t>
  </si>
  <si>
    <t>Samsung FY2025 Annual Results</t>
  </si>
  <si>
    <t>https://news.samsung.com/global/samsung-electronics-announces-fourth-quarter-and-fy-2025-results</t>
  </si>
  <si>
    <t>FY2025 division baseline; cost structure</t>
  </si>
  <si>
    <t>Lead Time / DC Branch</t>
  </si>
  <si>
    <t>Modeled Data — Delivery_Shipment</t>
  </si>
  <si>
    <t>Internal workbook — Delivery_Shipment sheet</t>
  </si>
  <si>
    <t>Shipment volume, OTD, lead time, delay rates</t>
  </si>
  <si>
    <t>Modeled — analyst-ready</t>
  </si>
  <si>
    <t>Lead Time &amp; Bottleneck</t>
  </si>
  <si>
    <t>Modeled Data — Inventory_Product_Service</t>
  </si>
  <si>
    <t>Internal workbook — Inventory_Product_Service sheet</t>
  </si>
  <si>
    <t>Opening/closing stock, inventory turns, safety buffer</t>
  </si>
  <si>
    <t>Inventory &amp; Safety Stock</t>
  </si>
  <si>
    <t>Modeled Data — Supply Chain Report</t>
  </si>
  <si>
    <t>Internal workbook — Supply Chain Report sheet</t>
  </si>
  <si>
    <t>Supplier risk, capacity status, revenue by category</t>
  </si>
  <si>
    <t>Modeled Data — Branch Directory</t>
  </si>
  <si>
    <t>Internal workbook — Branch Directory sheet</t>
  </si>
  <si>
    <t>DC branch revenue, profit, throughput per branch</t>
  </si>
  <si>
    <t>DC Branch Performance</t>
  </si>
  <si>
    <t>Modeled Data — Summary by Month</t>
  </si>
  <si>
    <t>Internal workbook — Summary by Month sheet</t>
  </si>
  <si>
    <t>Monthly revenue, profit, volume trend</t>
  </si>
  <si>
    <t>Modeled — reconciled</t>
  </si>
  <si>
    <t>Exec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</si>
</sst>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\$#,##0&quot; mm&quot;"/>
    <numFmt numFmtId="166" formatCode="0.0%"/>
    <numFmt numFmtId="167" formatCode="0.0&quot; days&quot;"/>
    <numFmt numFmtId="168" formatCode="0.00\x"/>
    <numFmt numFmtId="169" formatCode="\$#,##0.00"/>
    <numFmt numFmtId="170" formatCode="0.0"/>
    <numFmt numFmtId="171" formatCode="\$#,##0"/>
    <numFmt numFmtId="172" formatCode="0.000"/>
    <numFmt numFmtId="173" formatCode="#,##0.0"/>
  </numFmts>
  <fonts count="28" x14ac:knownFonts="1">
    <font>
      <sz val="11"/>
      <color theme="1"/>
      <name val="Calibri"/>
      <family val="2"/>
      <charset val="1"/>
    </font>
    <font>
      <sz val="10"/>
      <name val="Arial"/>
    </font>
    <font>
      <b/>
      <sz val="15"/>
      <color rgb="FFFFFFFF"/>
      <name val="Arial"/>
      <charset val="1"/>
    </font>
    <font>
      <i/>
      <sz val="9"/>
      <color rgb="FFD1D8E8"/>
      <name val="Arial"/>
      <charset val="1"/>
    </font>
    <font>
      <b/>
      <sz val="8"/>
      <color rgb="FF6B7A9B"/>
      <name val="Arial"/>
      <charset val="1"/>
    </font>
    <font>
      <b/>
      <sz val="22"/>
      <color rgb="FF0A1628"/>
      <name val="Arial"/>
      <charset val="1"/>
    </font>
    <font>
      <i/>
      <sz val="8"/>
      <color rgb="FF1428A0"/>
      <name val="Arial"/>
      <charset val="1"/>
    </font>
    <font>
      <i/>
      <sz val="8"/>
      <color rgb="FF1E3A5F"/>
      <name val="Arial"/>
      <charset val="1"/>
    </font>
    <font>
      <i/>
      <sz val="8"/>
      <color rgb="FF1A6B3C"/>
      <name val="Arial"/>
      <charset val="1"/>
    </font>
    <font>
      <i/>
      <sz val="8"/>
      <color rgb="FFC8962E"/>
      <name val="Arial"/>
      <charset val="1"/>
    </font>
    <font>
      <i/>
      <sz val="8"/>
      <color rgb="FF2D5BE3"/>
      <name val="Arial"/>
      <charset val="1"/>
    </font>
    <font>
      <b/>
      <sz val="10"/>
      <color rgb="FF0A1628"/>
      <name val="Arial"/>
      <charset val="1"/>
    </font>
    <font>
      <b/>
      <sz val="9"/>
      <color rgb="FFFFFFFF"/>
      <name val="Arial"/>
      <charset val="1"/>
    </font>
    <font>
      <sz val="9"/>
      <color rgb="FF0D0D0D"/>
      <name val="Arial"/>
      <charset val="1"/>
    </font>
    <font>
      <b/>
      <sz val="9"/>
      <color rgb="FFC0392B"/>
      <name val="Arial"/>
      <charset val="1"/>
    </font>
    <font>
      <b/>
      <sz val="9"/>
      <color rgb="FF1A6B3C"/>
      <name val="Arial"/>
      <charset val="1"/>
    </font>
    <font>
      <b/>
      <sz val="9"/>
      <color rgb="FF2D5BE3"/>
      <name val="Arial"/>
      <charset val="1"/>
    </font>
    <font>
      <b/>
      <sz val="9"/>
      <color rgb="FFC8962E"/>
      <name val="Arial"/>
      <charset val="1"/>
    </font>
    <font>
      <b/>
      <sz val="9"/>
      <color rgb="FF1E3A5F"/>
      <name val="Arial"/>
      <charset val="1"/>
    </font>
    <font>
      <i/>
      <sz val="8"/>
      <color rgb="FF6B7A9B"/>
      <name val="Arial"/>
      <charset val="1"/>
    </font>
    <font>
      <b/>
      <sz val="9"/>
      <color rgb="FF1428A0"/>
      <name val="Arial"/>
      <charset val="1"/>
    </font>
    <font>
      <b/>
      <sz val="9"/>
      <color rgb="FF0A1628"/>
      <name val="Arial"/>
      <charset val="1"/>
    </font>
    <font>
      <b/>
      <sz val="10"/>
      <color rgb="FF0000FF"/>
      <name val="Arial"/>
      <charset val="1"/>
    </font>
    <font>
      <sz val="8"/>
      <color rgb="FF6B7A9B"/>
      <name val="Arial"/>
      <charset val="1"/>
    </font>
    <font>
      <sz val="9"/>
      <color rgb="FF6B7A9B"/>
      <name val="Arial"/>
      <charset val="1"/>
    </font>
    <font>
      <b/>
      <sz val="9"/>
      <color rgb="FF0D0D0D"/>
      <name val="Arial"/>
      <charset val="1"/>
    </font>
    <font>
      <b/>
      <sz val="10"/>
      <color rgb="FFFFFFFF"/>
      <name val="Arial"/>
      <charset val="1"/>
    </font>
    <font>
      <b/>
      <sz val="2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A1628"/>
        <bgColor rgb="FF0D0D0D"/>
      </patternFill>
    </fill>
    <fill>
      <patternFill patternType="solid">
        <fgColor rgb="FF1E3A5F"/>
        <bgColor rgb="FF333333"/>
      </patternFill>
    </fill>
    <fill>
      <patternFill patternType="solid">
        <fgColor rgb="FF1428A0"/>
        <bgColor rgb="FF1E3A5F"/>
      </patternFill>
    </fill>
    <fill>
      <patternFill patternType="solid">
        <fgColor rgb="FF1A6B3C"/>
        <bgColor rgb="FF008080"/>
      </patternFill>
    </fill>
    <fill>
      <patternFill patternType="solid">
        <fgColor rgb="FFC8962E"/>
        <bgColor rgb="FFFF8080"/>
      </patternFill>
    </fill>
    <fill>
      <patternFill patternType="solid">
        <fgColor rgb="FF2D5BE3"/>
        <bgColor rgb="FF0066CC"/>
      </patternFill>
    </fill>
    <fill>
      <patternFill patternType="solid">
        <fgColor rgb="FFF7F8FC"/>
        <bgColor rgb="FFEEF2FF"/>
      </patternFill>
    </fill>
    <fill>
      <patternFill patternType="solid">
        <fgColor rgb="FFEEF2FF"/>
        <bgColor rgb="FFF7F8FC"/>
      </patternFill>
    </fill>
    <fill>
      <patternFill patternType="solid">
        <fgColor rgb="FFFFFFFF"/>
        <bgColor rgb="FFF7F8FC"/>
      </patternFill>
    </fill>
    <fill>
      <patternFill patternType="solid">
        <fgColor rgb="FFFFFDE7"/>
        <bgColor rgb="FFFFFFFF"/>
      </patternFill>
    </fill>
  </fills>
  <borders count="3">
    <border>
      <left/>
      <right/>
      <top/>
      <bottom/>
      <diagonal/>
    </border>
    <border>
      <left style="thin">
        <color rgb="FFD1D8E8"/>
      </left>
      <right style="thin">
        <color rgb="FFD1D8E8"/>
      </right>
      <top style="thin">
        <color rgb="FFD1D8E8"/>
      </top>
      <bottom style="thin">
        <color rgb="FFD1D8E8"/>
      </bottom>
      <diagonal/>
    </border>
    <border>
      <left style="thick">
        <color rgb="FF1428A0"/>
      </left>
      <right/>
      <top/>
      <bottom style="thin">
        <color rgb="FFD1D8E8"/>
      </bottom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95">
    <xf numFmtId="0" fontId="0" fillId="0" borderId="0" xfId="0"/>
    <xf numFmtId="0" fontId="6" fillId="8" borderId="1" xfId="0" applyFont="1" applyFill="1" applyBorder="1" applyAlignment="1">
      <alignment horizontal="center" vertical="center"/>
    </xf>
    <xf numFmtId="168" fontId="5" fillId="8" borderId="1" xfId="0" applyNumberFormat="1" applyFont="1" applyFill="1" applyBorder="1" applyAlignment="1">
      <alignment horizontal="center" vertical="center"/>
    </xf>
    <xf numFmtId="167" fontId="5" fillId="8" borderId="1" xfId="0" applyNumberFormat="1" applyFont="1" applyFill="1" applyBorder="1" applyAlignment="1">
      <alignment horizontal="center" vertical="center"/>
    </xf>
    <xf numFmtId="166" fontId="5" fillId="8" borderId="1" xfId="0" applyNumberFormat="1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4" borderId="1" xfId="0" applyFill="1" applyBorder="1"/>
    <xf numFmtId="0" fontId="3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8" borderId="1" xfId="0" applyFill="1" applyBorder="1"/>
    <xf numFmtId="0" fontId="12" fillId="2" borderId="1" xfId="0" applyFont="1" applyFill="1" applyBorder="1" applyAlignment="1">
      <alignment horizontal="center" vertical="center" wrapText="1"/>
    </xf>
    <xf numFmtId="49" fontId="13" fillId="8" borderId="1" xfId="0" applyNumberFormat="1" applyFont="1" applyFill="1" applyBorder="1" applyAlignment="1">
      <alignment horizontal="left" vertical="center"/>
    </xf>
    <xf numFmtId="169" fontId="13" fillId="8" borderId="1" xfId="0" applyNumberFormat="1" applyFont="1" applyFill="1" applyBorder="1" applyAlignment="1">
      <alignment horizontal="right" vertical="center"/>
    </xf>
    <xf numFmtId="3" fontId="13" fillId="8" borderId="1" xfId="0" applyNumberFormat="1" applyFont="1" applyFill="1" applyBorder="1" applyAlignment="1">
      <alignment horizontal="right" vertical="center"/>
    </xf>
    <xf numFmtId="170" fontId="13" fillId="8" borderId="1" xfId="0" applyNumberFormat="1" applyFont="1" applyFill="1" applyBorder="1" applyAlignment="1">
      <alignment horizontal="center" vertical="center"/>
    </xf>
    <xf numFmtId="166" fontId="13" fillId="8" borderId="1" xfId="0" applyNumberFormat="1" applyFont="1" applyFill="1" applyBorder="1" applyAlignment="1">
      <alignment horizontal="center" vertical="center"/>
    </xf>
    <xf numFmtId="2" fontId="13" fillId="8" borderId="1" xfId="0" applyNumberFormat="1" applyFont="1" applyFill="1" applyBorder="1" applyAlignment="1">
      <alignment horizontal="center" vertical="center"/>
    </xf>
    <xf numFmtId="1" fontId="13" fillId="8" borderId="1" xfId="0" applyNumberFormat="1" applyFont="1" applyFill="1" applyBorder="1" applyAlignment="1">
      <alignment horizontal="center" vertical="center"/>
    </xf>
    <xf numFmtId="171" fontId="13" fillId="8" borderId="1" xfId="0" applyNumberFormat="1" applyFont="1" applyFill="1" applyBorder="1" applyAlignment="1">
      <alignment horizontal="right" vertical="center"/>
    </xf>
    <xf numFmtId="49" fontId="13" fillId="8" borderId="1" xfId="0" applyNumberFormat="1" applyFont="1" applyFill="1" applyBorder="1" applyAlignment="1">
      <alignment horizontal="center" vertical="center"/>
    </xf>
    <xf numFmtId="49" fontId="14" fillId="8" borderId="1" xfId="0" applyNumberFormat="1" applyFont="1" applyFill="1" applyBorder="1" applyAlignment="1">
      <alignment horizontal="center" vertical="center"/>
    </xf>
    <xf numFmtId="49" fontId="13" fillId="8" borderId="1" xfId="0" applyNumberFormat="1" applyFont="1" applyFill="1" applyBorder="1" applyAlignment="1">
      <alignment horizontal="left" vertical="center" wrapText="1"/>
    </xf>
    <xf numFmtId="49" fontId="13" fillId="10" borderId="1" xfId="0" applyNumberFormat="1" applyFont="1" applyFill="1" applyBorder="1" applyAlignment="1">
      <alignment horizontal="left" vertical="center"/>
    </xf>
    <xf numFmtId="169" fontId="13" fillId="10" borderId="1" xfId="0" applyNumberFormat="1" applyFont="1" applyFill="1" applyBorder="1" applyAlignment="1">
      <alignment horizontal="right" vertical="center"/>
    </xf>
    <xf numFmtId="3" fontId="13" fillId="10" borderId="1" xfId="0" applyNumberFormat="1" applyFont="1" applyFill="1" applyBorder="1" applyAlignment="1">
      <alignment horizontal="right" vertical="center"/>
    </xf>
    <xf numFmtId="170" fontId="13" fillId="10" borderId="1" xfId="0" applyNumberFormat="1" applyFont="1" applyFill="1" applyBorder="1" applyAlignment="1">
      <alignment horizontal="center" vertical="center"/>
    </xf>
    <xf numFmtId="166" fontId="13" fillId="10" borderId="1" xfId="0" applyNumberFormat="1" applyFont="1" applyFill="1" applyBorder="1" applyAlignment="1">
      <alignment horizontal="center" vertical="center"/>
    </xf>
    <xf numFmtId="2" fontId="13" fillId="10" borderId="1" xfId="0" applyNumberFormat="1" applyFont="1" applyFill="1" applyBorder="1" applyAlignment="1">
      <alignment horizontal="center" vertical="center"/>
    </xf>
    <xf numFmtId="1" fontId="13" fillId="10" borderId="1" xfId="0" applyNumberFormat="1" applyFont="1" applyFill="1" applyBorder="1" applyAlignment="1">
      <alignment horizontal="center" vertical="center"/>
    </xf>
    <xf numFmtId="171" fontId="13" fillId="10" borderId="1" xfId="0" applyNumberFormat="1" applyFont="1" applyFill="1" applyBorder="1" applyAlignment="1">
      <alignment horizontal="right" vertical="center"/>
    </xf>
    <xf numFmtId="49" fontId="13" fillId="10" borderId="1" xfId="0" applyNumberFormat="1" applyFont="1" applyFill="1" applyBorder="1" applyAlignment="1">
      <alignment horizontal="center" vertical="center"/>
    </xf>
    <xf numFmtId="49" fontId="15" fillId="10" borderId="1" xfId="0" applyNumberFormat="1" applyFont="1" applyFill="1" applyBorder="1" applyAlignment="1">
      <alignment horizontal="center" vertical="center"/>
    </xf>
    <xf numFmtId="49" fontId="13" fillId="10" borderId="1" xfId="0" applyNumberFormat="1" applyFont="1" applyFill="1" applyBorder="1" applyAlignment="1">
      <alignment horizontal="left" vertical="center" wrapText="1"/>
    </xf>
    <xf numFmtId="49" fontId="16" fillId="8" borderId="1" xfId="0" applyNumberFormat="1" applyFont="1" applyFill="1" applyBorder="1" applyAlignment="1">
      <alignment horizontal="center" vertical="center"/>
    </xf>
    <xf numFmtId="49" fontId="17" fillId="10" borderId="1" xfId="0" applyNumberFormat="1" applyFont="1" applyFill="1" applyBorder="1" applyAlignment="1">
      <alignment horizontal="center" vertical="center"/>
    </xf>
    <xf numFmtId="49" fontId="18" fillId="8" borderId="1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left" vertical="center"/>
    </xf>
    <xf numFmtId="169" fontId="12" fillId="2" borderId="1" xfId="0" applyNumberFormat="1" applyFont="1" applyFill="1" applyBorder="1" applyAlignment="1">
      <alignment horizontal="right" vertical="center"/>
    </xf>
    <xf numFmtId="3" fontId="12" fillId="2" borderId="1" xfId="0" applyNumberFormat="1" applyFont="1" applyFill="1" applyBorder="1" applyAlignment="1">
      <alignment horizontal="right" vertical="center"/>
    </xf>
    <xf numFmtId="170" fontId="12" fillId="2" borderId="1" xfId="0" applyNumberFormat="1" applyFont="1" applyFill="1" applyBorder="1" applyAlignment="1">
      <alignment horizontal="center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/>
    </xf>
    <xf numFmtId="171" fontId="12" fillId="2" borderId="1" xfId="0" applyNumberFormat="1" applyFont="1" applyFill="1" applyBorder="1" applyAlignment="1">
      <alignment horizontal="right" vertical="center"/>
    </xf>
    <xf numFmtId="49" fontId="12" fillId="2" borderId="1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166" fontId="12" fillId="2" borderId="1" xfId="0" applyNumberFormat="1" applyFont="1" applyFill="1" applyBorder="1" applyAlignment="1">
      <alignment horizontal="right" vertical="center"/>
    </xf>
    <xf numFmtId="49" fontId="12" fillId="2" borderId="1" xfId="0" applyNumberFormat="1" applyFont="1" applyFill="1" applyBorder="1" applyAlignment="1">
      <alignment horizontal="right" vertical="center"/>
    </xf>
    <xf numFmtId="0" fontId="12" fillId="3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2" fontId="22" fillId="11" borderId="1" xfId="0" applyNumberFormat="1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left" vertical="center"/>
    </xf>
    <xf numFmtId="0" fontId="21" fillId="10" borderId="1" xfId="0" applyFont="1" applyFill="1" applyBorder="1" applyAlignment="1">
      <alignment horizontal="left" vertical="center"/>
    </xf>
    <xf numFmtId="1" fontId="22" fillId="11" borderId="1" xfId="0" applyNumberFormat="1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left" vertical="center"/>
    </xf>
    <xf numFmtId="170" fontId="22" fillId="11" borderId="1" xfId="0" applyNumberFormat="1" applyFont="1" applyFill="1" applyBorder="1" applyAlignment="1">
      <alignment horizontal="center" vertical="center"/>
    </xf>
    <xf numFmtId="172" fontId="22" fillId="11" borderId="1" xfId="0" applyNumberFormat="1" applyFont="1" applyFill="1" applyBorder="1" applyAlignment="1">
      <alignment horizontal="center" vertical="center"/>
    </xf>
    <xf numFmtId="166" fontId="22" fillId="11" borderId="1" xfId="0" applyNumberFormat="1" applyFont="1" applyFill="1" applyBorder="1" applyAlignment="1">
      <alignment horizontal="center" vertical="center"/>
    </xf>
    <xf numFmtId="173" fontId="13" fillId="8" borderId="1" xfId="0" applyNumberFormat="1" applyFont="1" applyFill="1" applyBorder="1" applyAlignment="1">
      <alignment horizontal="right" vertical="center"/>
    </xf>
    <xf numFmtId="173" fontId="13" fillId="10" borderId="1" xfId="0" applyNumberFormat="1" applyFont="1" applyFill="1" applyBorder="1" applyAlignment="1">
      <alignment horizontal="right" vertical="center"/>
    </xf>
    <xf numFmtId="173" fontId="12" fillId="2" borderId="1" xfId="0" applyNumberFormat="1" applyFont="1" applyFill="1" applyBorder="1" applyAlignment="1">
      <alignment horizontal="right" vertical="center"/>
    </xf>
    <xf numFmtId="170" fontId="12" fillId="2" borderId="1" xfId="0" applyNumberFormat="1" applyFont="1" applyFill="1" applyBorder="1" applyAlignment="1">
      <alignment horizontal="right" vertical="center"/>
    </xf>
    <xf numFmtId="1" fontId="12" fillId="2" borderId="1" xfId="0" applyNumberFormat="1" applyFont="1" applyFill="1" applyBorder="1" applyAlignment="1">
      <alignment horizontal="right" vertical="center"/>
    </xf>
    <xf numFmtId="172" fontId="13" fillId="8" borderId="1" xfId="0" applyNumberFormat="1" applyFont="1" applyFill="1" applyBorder="1" applyAlignment="1">
      <alignment horizontal="center" vertical="center"/>
    </xf>
    <xf numFmtId="49" fontId="13" fillId="8" borderId="1" xfId="0" applyNumberFormat="1" applyFont="1" applyFill="1" applyBorder="1" applyAlignment="1">
      <alignment horizontal="center" vertical="center" wrapText="1"/>
    </xf>
    <xf numFmtId="49" fontId="15" fillId="8" borderId="1" xfId="0" applyNumberFormat="1" applyFont="1" applyFill="1" applyBorder="1" applyAlignment="1">
      <alignment horizontal="center" vertical="center"/>
    </xf>
    <xf numFmtId="172" fontId="13" fillId="10" borderId="1" xfId="0" applyNumberFormat="1" applyFont="1" applyFill="1" applyBorder="1" applyAlignment="1">
      <alignment horizontal="center" vertical="center"/>
    </xf>
    <xf numFmtId="49" fontId="13" fillId="10" borderId="1" xfId="0" applyNumberFormat="1" applyFont="1" applyFill="1" applyBorder="1" applyAlignment="1">
      <alignment horizontal="center" vertical="center" wrapText="1"/>
    </xf>
    <xf numFmtId="49" fontId="17" fillId="8" borderId="1" xfId="0" applyNumberFormat="1" applyFont="1" applyFill="1" applyBorder="1" applyAlignment="1">
      <alignment horizontal="center" vertical="center"/>
    </xf>
    <xf numFmtId="49" fontId="14" fillId="10" borderId="1" xfId="0" applyNumberFormat="1" applyFont="1" applyFill="1" applyBorder="1" applyAlignment="1">
      <alignment horizontal="center" vertical="center"/>
    </xf>
    <xf numFmtId="172" fontId="12" fillId="2" borderId="1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/>
    </xf>
    <xf numFmtId="169" fontId="12" fillId="2" borderId="1" xfId="0" applyNumberFormat="1" applyFont="1" applyFill="1" applyBorder="1" applyAlignment="1">
      <alignment horizontal="center" vertical="center"/>
    </xf>
    <xf numFmtId="49" fontId="25" fillId="8" borderId="1" xfId="0" applyNumberFormat="1" applyFont="1" applyFill="1" applyBorder="1" applyAlignment="1">
      <alignment horizontal="left" vertical="center"/>
    </xf>
    <xf numFmtId="49" fontId="25" fillId="10" borderId="1" xfId="0" applyNumberFormat="1" applyFont="1" applyFill="1" applyBorder="1" applyAlignment="1">
      <alignment horizontal="left" vertical="center"/>
    </xf>
    <xf numFmtId="0" fontId="26" fillId="2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20" fillId="8" borderId="0" xfId="0" applyFont="1" applyFill="1" applyAlignment="1">
      <alignment horizontal="right" vertical="center"/>
    </xf>
    <xf numFmtId="43" fontId="27" fillId="0" borderId="1" xfId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808000"/>
      <rgbColor rgb="FF800080"/>
      <rgbColor rgb="FF008080"/>
      <rgbColor rgb="FFC0C0C0"/>
      <rgbColor rgb="FF6B7A9B"/>
      <rgbColor rgb="FF9999FF"/>
      <rgbColor rgb="FF993366"/>
      <rgbColor rgb="FFFFFDE7"/>
      <rgbColor rgb="FFEEF2FF"/>
      <rgbColor rgb="FF660066"/>
      <rgbColor rgb="FFFF8080"/>
      <rgbColor rgb="FF0066CC"/>
      <rgbColor rgb="FFD1D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8FC"/>
      <rgbColor rgb="FFCCFFCC"/>
      <rgbColor rgb="FFFFFF99"/>
      <rgbColor rgb="FF99CCFF"/>
      <rgbColor rgb="FFFF99CC"/>
      <rgbColor rgb="FFCC99FF"/>
      <rgbColor rgb="FFFFCC99"/>
      <rgbColor rgb="FF2D5BE3"/>
      <rgbColor rgb="FF33CCCC"/>
      <rgbColor rgb="FF99CC00"/>
      <rgbColor rgb="FFFFCC00"/>
      <rgbColor rgb="FFC8962E"/>
      <rgbColor rgb="FFFF6600"/>
      <rgbColor rgb="FF666699"/>
      <rgbColor rgb="FF969696"/>
      <rgbColor rgb="FF1E3A5F"/>
      <rgbColor rgb="FF339966"/>
      <rgbColor rgb="FF0A1628"/>
      <rgbColor rgb="FF0D0D0D"/>
      <rgbColor rgb="FFC0392B"/>
      <rgbColor rgb="FF993366"/>
      <rgbColor rgb="FF1428A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428A0"/>
  </sheetPr>
  <dimension ref="A1:O31"/>
  <sheetViews>
    <sheetView showGridLines="0" tabSelected="1" zoomScaleNormal="100" workbookViewId="0">
      <pane ySplit="11" topLeftCell="A12" activePane="bottomLeft" state="frozen"/>
      <selection pane="bottomLeft" activeCell="D6" sqref="D6:F7"/>
    </sheetView>
  </sheetViews>
  <sheetFormatPr defaultColWidth="8.6328125" defaultRowHeight="14.5" x14ac:dyDescent="0.35"/>
  <cols>
    <col min="1" max="1" width="28" customWidth="1"/>
    <col min="2" max="2" width="14" customWidth="1"/>
    <col min="3" max="3" width="16" customWidth="1"/>
    <col min="4" max="4" width="10" customWidth="1"/>
    <col min="5" max="5" width="12" customWidth="1"/>
    <col min="6" max="6" width="11" customWidth="1"/>
    <col min="7" max="7" width="13" customWidth="1"/>
    <col min="8" max="9" width="10" customWidth="1"/>
    <col min="10" max="10" width="14" customWidth="1"/>
    <col min="11" max="11" width="12" customWidth="1"/>
    <col min="12" max="12" width="13" customWidth="1"/>
    <col min="13" max="13" width="40" customWidth="1"/>
  </cols>
  <sheetData>
    <row r="1" spans="1:15" ht="33.75" customHeight="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15.75" customHeight="1" x14ac:dyDescent="0.3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7.5" customHeight="1" x14ac:dyDescent="0.35"/>
    <row r="4" spans="1:15" ht="4.5" customHeight="1" x14ac:dyDescent="0.35">
      <c r="A4" s="11"/>
      <c r="B4" s="11"/>
      <c r="C4" s="11"/>
      <c r="D4" s="10"/>
      <c r="E4" s="10"/>
      <c r="F4" s="10"/>
      <c r="G4" s="9"/>
      <c r="H4" s="9"/>
      <c r="I4" s="9"/>
      <c r="J4" s="8"/>
      <c r="K4" s="8"/>
      <c r="L4" s="8"/>
      <c r="M4" s="7"/>
      <c r="N4" s="7"/>
      <c r="O4" s="7"/>
    </row>
    <row r="5" spans="1:15" ht="15.75" customHeight="1" x14ac:dyDescent="0.35">
      <c r="A5" s="6" t="s">
        <v>2</v>
      </c>
      <c r="B5" s="6"/>
      <c r="C5" s="6"/>
      <c r="D5" s="6" t="s">
        <v>3</v>
      </c>
      <c r="E5" s="6"/>
      <c r="F5" s="6"/>
      <c r="G5" s="6" t="s">
        <v>4</v>
      </c>
      <c r="H5" s="6"/>
      <c r="I5" s="6"/>
      <c r="J5" s="6" t="s">
        <v>5</v>
      </c>
      <c r="K5" s="6"/>
      <c r="L5" s="6"/>
      <c r="M5" s="6" t="s">
        <v>6</v>
      </c>
      <c r="N5" s="6"/>
      <c r="O5" s="6"/>
    </row>
    <row r="6" spans="1:15" ht="18" customHeight="1" x14ac:dyDescent="0.35">
      <c r="A6" s="5">
        <v>185000</v>
      </c>
      <c r="B6" s="5"/>
      <c r="C6" s="5"/>
      <c r="D6" s="94">
        <v>1331650.33</v>
      </c>
      <c r="E6" s="94"/>
      <c r="F6" s="94"/>
      <c r="G6" s="4">
        <v>0.93400000000000005</v>
      </c>
      <c r="H6" s="4"/>
      <c r="I6" s="4"/>
      <c r="J6" s="3">
        <v>7.5</v>
      </c>
      <c r="K6" s="3"/>
      <c r="L6" s="3"/>
      <c r="M6" s="2">
        <v>6.3</v>
      </c>
      <c r="N6" s="2"/>
      <c r="O6" s="2"/>
    </row>
    <row r="7" spans="1:15" ht="18" customHeight="1" x14ac:dyDescent="0.35">
      <c r="A7" s="5"/>
      <c r="B7" s="5"/>
      <c r="C7" s="5"/>
      <c r="D7" s="94"/>
      <c r="E7" s="94"/>
      <c r="F7" s="94"/>
      <c r="G7" s="4"/>
      <c r="H7" s="4"/>
      <c r="I7" s="4"/>
      <c r="J7" s="3"/>
      <c r="K7" s="3"/>
      <c r="L7" s="3"/>
      <c r="M7" s="2"/>
      <c r="N7" s="2"/>
      <c r="O7" s="2"/>
    </row>
    <row r="8" spans="1:15" ht="13.5" customHeight="1" x14ac:dyDescent="0.35">
      <c r="A8" s="1" t="s">
        <v>7</v>
      </c>
      <c r="B8" s="1"/>
      <c r="C8" s="1"/>
      <c r="D8" s="87" t="s">
        <v>8</v>
      </c>
      <c r="E8" s="87"/>
      <c r="F8" s="87"/>
      <c r="G8" s="88" t="s">
        <v>9</v>
      </c>
      <c r="H8" s="88"/>
      <c r="I8" s="88"/>
      <c r="J8" s="89" t="s">
        <v>10</v>
      </c>
      <c r="K8" s="89"/>
      <c r="L8" s="89"/>
      <c r="M8" s="90" t="s">
        <v>11</v>
      </c>
      <c r="N8" s="90"/>
      <c r="O8" s="90"/>
    </row>
    <row r="9" spans="1:15" ht="6" customHeight="1" x14ac:dyDescent="0.35">
      <c r="A9" s="14"/>
      <c r="B9" s="14"/>
      <c r="D9" s="14"/>
      <c r="E9" s="14"/>
      <c r="G9" s="14"/>
      <c r="H9" s="14"/>
      <c r="J9" s="14"/>
      <c r="K9" s="14"/>
      <c r="M9" s="14"/>
      <c r="N9" s="14"/>
    </row>
    <row r="10" spans="1:15" ht="21.75" customHeight="1" x14ac:dyDescent="0.35">
      <c r="A10" s="91" t="s">
        <v>12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</row>
    <row r="11" spans="1:15" ht="30" customHeight="1" x14ac:dyDescent="0.35">
      <c r="A11" s="15" t="s">
        <v>13</v>
      </c>
      <c r="B11" s="15" t="s">
        <v>14</v>
      </c>
      <c r="C11" s="15" t="s">
        <v>15</v>
      </c>
      <c r="D11" s="15" t="s">
        <v>16</v>
      </c>
      <c r="E11" s="15" t="s">
        <v>17</v>
      </c>
      <c r="F11" s="15" t="s">
        <v>18</v>
      </c>
      <c r="G11" s="15" t="s">
        <v>19</v>
      </c>
      <c r="H11" s="15" t="s">
        <v>20</v>
      </c>
      <c r="I11" s="15" t="s">
        <v>21</v>
      </c>
      <c r="J11" s="15" t="s">
        <v>22</v>
      </c>
      <c r="K11" s="15" t="s">
        <v>23</v>
      </c>
      <c r="L11" s="15" t="s">
        <v>24</v>
      </c>
      <c r="M11" s="15" t="s">
        <v>25</v>
      </c>
    </row>
    <row r="12" spans="1:15" ht="15" customHeight="1" x14ac:dyDescent="0.35">
      <c r="A12" s="16" t="s">
        <v>26</v>
      </c>
      <c r="B12" s="17">
        <v>87271.15</v>
      </c>
      <c r="C12" s="18">
        <v>628760.66</v>
      </c>
      <c r="D12" s="19">
        <v>7.5</v>
      </c>
      <c r="E12" s="20">
        <v>0.93300000000000005</v>
      </c>
      <c r="F12" s="20">
        <v>6.7000000000000004E-2</v>
      </c>
      <c r="G12" s="21">
        <v>6.3</v>
      </c>
      <c r="H12" s="19">
        <v>21.6</v>
      </c>
      <c r="I12" s="22">
        <v>15</v>
      </c>
      <c r="J12" s="23">
        <v>5818</v>
      </c>
      <c r="K12" s="24" t="s">
        <v>27</v>
      </c>
      <c r="L12" s="25" t="s">
        <v>28</v>
      </c>
      <c r="M12" s="26" t="s">
        <v>29</v>
      </c>
    </row>
    <row r="13" spans="1:15" ht="15" customHeight="1" x14ac:dyDescent="0.35">
      <c r="A13" s="27" t="s">
        <v>30</v>
      </c>
      <c r="B13" s="28">
        <v>46363.64</v>
      </c>
      <c r="C13" s="29">
        <v>333055.87</v>
      </c>
      <c r="D13" s="30">
        <v>7.5</v>
      </c>
      <c r="E13" s="31">
        <v>0.94299999999999995</v>
      </c>
      <c r="F13" s="31">
        <v>5.6500000000000002E-2</v>
      </c>
      <c r="G13" s="32">
        <v>6.3</v>
      </c>
      <c r="H13" s="30">
        <v>21.4</v>
      </c>
      <c r="I13" s="33">
        <v>6</v>
      </c>
      <c r="J13" s="34">
        <v>7727</v>
      </c>
      <c r="K13" s="35" t="s">
        <v>31</v>
      </c>
      <c r="L13" s="36" t="s">
        <v>32</v>
      </c>
      <c r="M13" s="37" t="s">
        <v>29</v>
      </c>
    </row>
    <row r="14" spans="1:15" ht="15" customHeight="1" x14ac:dyDescent="0.35">
      <c r="A14" s="16" t="s">
        <v>33</v>
      </c>
      <c r="B14" s="17">
        <v>23824.18</v>
      </c>
      <c r="C14" s="18">
        <v>171778.75</v>
      </c>
      <c r="D14" s="19">
        <v>7.5</v>
      </c>
      <c r="E14" s="20">
        <v>0.93300000000000005</v>
      </c>
      <c r="F14" s="20">
        <v>6.6900000000000001E-2</v>
      </c>
      <c r="G14" s="21">
        <v>6.3</v>
      </c>
      <c r="H14" s="19">
        <v>21.6</v>
      </c>
      <c r="I14" s="22">
        <v>9</v>
      </c>
      <c r="J14" s="23">
        <v>2647</v>
      </c>
      <c r="K14" s="24" t="s">
        <v>31</v>
      </c>
      <c r="L14" s="38" t="s">
        <v>34</v>
      </c>
      <c r="M14" s="26" t="s">
        <v>29</v>
      </c>
    </row>
    <row r="15" spans="1:15" ht="15" customHeight="1" x14ac:dyDescent="0.35">
      <c r="A15" s="27" t="s">
        <v>35</v>
      </c>
      <c r="B15" s="28">
        <v>16581.09</v>
      </c>
      <c r="C15" s="29">
        <v>118996.81</v>
      </c>
      <c r="D15" s="30">
        <v>7.5</v>
      </c>
      <c r="E15" s="31">
        <v>0.93300000000000005</v>
      </c>
      <c r="F15" s="31">
        <v>6.7000000000000004E-2</v>
      </c>
      <c r="G15" s="32">
        <v>6.3</v>
      </c>
      <c r="H15" s="30">
        <v>21.6</v>
      </c>
      <c r="I15" s="33">
        <v>6</v>
      </c>
      <c r="J15" s="34">
        <v>2764</v>
      </c>
      <c r="K15" s="35" t="s">
        <v>31</v>
      </c>
      <c r="L15" s="39" t="s">
        <v>36</v>
      </c>
      <c r="M15" s="37" t="s">
        <v>29</v>
      </c>
    </row>
    <row r="16" spans="1:15" ht="15" customHeight="1" x14ac:dyDescent="0.35">
      <c r="A16" s="16" t="s">
        <v>37</v>
      </c>
      <c r="B16" s="17">
        <v>10959.94</v>
      </c>
      <c r="C16" s="18">
        <v>79058.240000000005</v>
      </c>
      <c r="D16" s="19">
        <v>7.5</v>
      </c>
      <c r="E16" s="20">
        <v>0.93300000000000005</v>
      </c>
      <c r="F16" s="20">
        <v>6.6900000000000001E-2</v>
      </c>
      <c r="G16" s="21">
        <v>6.3</v>
      </c>
      <c r="H16" s="19">
        <v>21.6</v>
      </c>
      <c r="I16" s="22">
        <v>9</v>
      </c>
      <c r="J16" s="23">
        <v>1218</v>
      </c>
      <c r="K16" s="24" t="s">
        <v>31</v>
      </c>
      <c r="L16" s="40" t="s">
        <v>38</v>
      </c>
      <c r="M16" s="26" t="s">
        <v>29</v>
      </c>
    </row>
    <row r="17" spans="1:14" ht="15" customHeight="1" x14ac:dyDescent="0.35">
      <c r="A17" s="41" t="s">
        <v>39</v>
      </c>
      <c r="B17" s="42">
        <f>SUM(B12:B16)</f>
        <v>184999.99999999997</v>
      </c>
      <c r="C17" s="43">
        <f>SUM(C12:C16)</f>
        <v>1331650.33</v>
      </c>
      <c r="D17" s="44">
        <f>AVERAGE(D12:D16)</f>
        <v>7.5</v>
      </c>
      <c r="E17" s="45">
        <f>AVERAGE(E12:E16)</f>
        <v>0.93499999999999994</v>
      </c>
      <c r="F17" s="45">
        <f>AVERAGE(F12:F16)</f>
        <v>6.4860000000000001E-2</v>
      </c>
      <c r="G17" s="46">
        <f>AVERAGE(G12:G16)</f>
        <v>6.3</v>
      </c>
      <c r="H17" s="44">
        <f>AVERAGE(H12:H16)</f>
        <v>21.559999999999995</v>
      </c>
      <c r="I17" s="47">
        <f>SUM(I12:I16)</f>
        <v>45</v>
      </c>
      <c r="J17" s="48">
        <f>AVERAGE(J12:J16)</f>
        <v>4034.8</v>
      </c>
      <c r="K17" s="49"/>
      <c r="L17" s="49"/>
      <c r="M17" s="50" t="s">
        <v>40</v>
      </c>
    </row>
    <row r="20" spans="1:14" ht="21.75" customHeight="1" x14ac:dyDescent="0.35">
      <c r="A20" s="91" t="s">
        <v>41</v>
      </c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</row>
    <row r="21" spans="1:14" ht="27.75" customHeight="1" x14ac:dyDescent="0.35">
      <c r="A21" s="51" t="s">
        <v>42</v>
      </c>
      <c r="B21" s="51" t="s">
        <v>14</v>
      </c>
      <c r="C21" s="51" t="s">
        <v>43</v>
      </c>
      <c r="D21" s="51" t="s">
        <v>44</v>
      </c>
      <c r="E21" s="51" t="s">
        <v>45</v>
      </c>
      <c r="F21" s="51" t="s">
        <v>46</v>
      </c>
      <c r="G21" s="51" t="s">
        <v>47</v>
      </c>
      <c r="H21" s="51" t="s">
        <v>48</v>
      </c>
      <c r="I21" s="51" t="s">
        <v>25</v>
      </c>
    </row>
    <row r="22" spans="1:14" ht="15" customHeight="1" x14ac:dyDescent="0.35">
      <c r="A22" s="24" t="s">
        <v>49</v>
      </c>
      <c r="B22" s="17">
        <v>28670.65</v>
      </c>
      <c r="C22" s="17">
        <v>8241.27</v>
      </c>
      <c r="D22" s="20">
        <v>0.28739999999999999</v>
      </c>
      <c r="E22" s="18">
        <v>206279.11</v>
      </c>
      <c r="F22" s="20" t="s">
        <v>50</v>
      </c>
      <c r="G22" s="17">
        <f>SUM($B$22:B22)</f>
        <v>28670.65</v>
      </c>
      <c r="H22" s="17">
        <f>B22-29000</f>
        <v>-329.34999999999854</v>
      </c>
      <c r="I22" s="16" t="s">
        <v>51</v>
      </c>
    </row>
    <row r="23" spans="1:14" ht="15" customHeight="1" x14ac:dyDescent="0.35">
      <c r="A23" s="35" t="s">
        <v>52</v>
      </c>
      <c r="B23" s="28">
        <v>26730.25</v>
      </c>
      <c r="C23" s="28">
        <v>7666.52</v>
      </c>
      <c r="D23" s="31">
        <v>0.2868</v>
      </c>
      <c r="E23" s="29">
        <v>191846.15</v>
      </c>
      <c r="F23" s="31">
        <f>(B23-B22)/B22</f>
        <v>-6.7678967864349127E-2</v>
      </c>
      <c r="G23" s="28">
        <f>SUM($B$22:B23)</f>
        <v>55400.9</v>
      </c>
      <c r="H23" s="28">
        <f>B23-28000</f>
        <v>-1269.75</v>
      </c>
      <c r="I23" s="27" t="s">
        <v>51</v>
      </c>
    </row>
    <row r="24" spans="1:14" ht="15" customHeight="1" x14ac:dyDescent="0.35">
      <c r="A24" s="24" t="s">
        <v>53</v>
      </c>
      <c r="B24" s="17">
        <v>30553.53</v>
      </c>
      <c r="C24" s="17">
        <v>8818.3799999999992</v>
      </c>
      <c r="D24" s="20">
        <v>0.28860000000000002</v>
      </c>
      <c r="E24" s="18">
        <v>220232.18</v>
      </c>
      <c r="F24" s="20">
        <f>(B24-B23)/B23</f>
        <v>0.14303195817472708</v>
      </c>
      <c r="G24" s="17">
        <f>SUM($B$22:B24)</f>
        <v>85954.43</v>
      </c>
      <c r="H24" s="17">
        <f>B24-31000</f>
        <v>-446.47000000000116</v>
      </c>
      <c r="I24" s="16" t="s">
        <v>51</v>
      </c>
    </row>
    <row r="25" spans="1:14" ht="15" customHeight="1" x14ac:dyDescent="0.35">
      <c r="A25" s="35" t="s">
        <v>54</v>
      </c>
      <c r="B25" s="28">
        <v>30606.720000000001</v>
      </c>
      <c r="C25" s="28">
        <v>8805.35</v>
      </c>
      <c r="D25" s="31">
        <v>0.28770000000000001</v>
      </c>
      <c r="E25" s="29">
        <v>219560.89</v>
      </c>
      <c r="F25" s="31">
        <f>(B25-B24)/B24</f>
        <v>1.7408790408179457E-3</v>
      </c>
      <c r="G25" s="28">
        <f>SUM($B$22:B25)</f>
        <v>116561.15</v>
      </c>
      <c r="H25" s="28">
        <f>B25-31000</f>
        <v>-393.27999999999884</v>
      </c>
      <c r="I25" s="27" t="s">
        <v>51</v>
      </c>
    </row>
    <row r="26" spans="1:14" ht="15" customHeight="1" x14ac:dyDescent="0.35">
      <c r="A26" s="24" t="s">
        <v>55</v>
      </c>
      <c r="B26" s="17">
        <v>33187.519999999997</v>
      </c>
      <c r="C26" s="17">
        <v>9558.65</v>
      </c>
      <c r="D26" s="20">
        <v>0.28799999999999998</v>
      </c>
      <c r="E26" s="18">
        <v>239579.61</v>
      </c>
      <c r="F26" s="20">
        <f>(B26-B25)/B25</f>
        <v>8.4321351650879145E-2</v>
      </c>
      <c r="G26" s="17">
        <f>SUM($B$22:B26)</f>
        <v>149748.66999999998</v>
      </c>
      <c r="H26" s="17">
        <f>B26-33500</f>
        <v>-312.4800000000032</v>
      </c>
      <c r="I26" s="16" t="s">
        <v>51</v>
      </c>
    </row>
    <row r="27" spans="1:14" ht="15" customHeight="1" x14ac:dyDescent="0.35">
      <c r="A27" s="35" t="s">
        <v>56</v>
      </c>
      <c r="B27" s="28">
        <v>35251.33</v>
      </c>
      <c r="C27" s="28">
        <v>10162.23</v>
      </c>
      <c r="D27" s="31">
        <v>0.2883</v>
      </c>
      <c r="E27" s="29">
        <v>254152.39</v>
      </c>
      <c r="F27" s="31">
        <f>(B27-B26)/B26</f>
        <v>6.218632787264626E-2</v>
      </c>
      <c r="G27" s="28">
        <f>SUM($B$22:B27)</f>
        <v>185000</v>
      </c>
      <c r="H27" s="28">
        <f>B27-35500</f>
        <v>-248.66999999999825</v>
      </c>
      <c r="I27" s="27" t="s">
        <v>51</v>
      </c>
    </row>
    <row r="28" spans="1:14" ht="15" customHeight="1" x14ac:dyDescent="0.35">
      <c r="A28" s="49" t="s">
        <v>57</v>
      </c>
      <c r="B28" s="42">
        <f>SUM(B22:B27)</f>
        <v>185000</v>
      </c>
      <c r="C28" s="42">
        <f>SUM(C22:C27)</f>
        <v>53252.399999999994</v>
      </c>
      <c r="D28" s="52">
        <f>C28/B28</f>
        <v>0.28785081081081076</v>
      </c>
      <c r="E28" s="43">
        <f>SUM(E22:E27)</f>
        <v>1331650.33</v>
      </c>
      <c r="F28" s="53"/>
      <c r="G28" s="42">
        <f>B28</f>
        <v>185000</v>
      </c>
      <c r="H28" s="42">
        <f>SUM(H22:H27)</f>
        <v>-3000</v>
      </c>
      <c r="I28" s="53" t="s">
        <v>58</v>
      </c>
    </row>
    <row r="30" spans="1:14" ht="12.75" customHeight="1" x14ac:dyDescent="0.35">
      <c r="A30" s="92" t="s">
        <v>59</v>
      </c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</row>
    <row r="31" spans="1:14" ht="12.75" customHeight="1" x14ac:dyDescent="0.35">
      <c r="A31" s="93" t="s">
        <v>60</v>
      </c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</row>
  </sheetData>
  <mergeCells count="26">
    <mergeCell ref="A10:N10"/>
    <mergeCell ref="A20:N20"/>
    <mergeCell ref="A30:N30"/>
    <mergeCell ref="A31:N31"/>
    <mergeCell ref="A8:C8"/>
    <mergeCell ref="D8:F8"/>
    <mergeCell ref="G8:I8"/>
    <mergeCell ref="J8:L8"/>
    <mergeCell ref="M8:O8"/>
    <mergeCell ref="A6:C7"/>
    <mergeCell ref="D6:F7"/>
    <mergeCell ref="G6:I7"/>
    <mergeCell ref="J6:L7"/>
    <mergeCell ref="M6:O7"/>
    <mergeCell ref="A5:C5"/>
    <mergeCell ref="D5:F5"/>
    <mergeCell ref="G5:I5"/>
    <mergeCell ref="J5:L5"/>
    <mergeCell ref="M5:O5"/>
    <mergeCell ref="A1:O1"/>
    <mergeCell ref="A2:O2"/>
    <mergeCell ref="A4:C4"/>
    <mergeCell ref="D4:F4"/>
    <mergeCell ref="G4:I4"/>
    <mergeCell ref="J4:L4"/>
    <mergeCell ref="M4:O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3A5F"/>
  </sheetPr>
  <dimension ref="A1:M39"/>
  <sheetViews>
    <sheetView showGridLines="0" zoomScaleNormal="100" workbookViewId="0">
      <pane ySplit="18" topLeftCell="A19" activePane="bottomLeft" state="frozen"/>
      <selection pane="bottomLeft" sqref="A1:M1"/>
    </sheetView>
  </sheetViews>
  <sheetFormatPr defaultColWidth="8.6328125" defaultRowHeight="14.5" x14ac:dyDescent="0.35"/>
  <cols>
    <col min="1" max="1" width="28" customWidth="1"/>
    <col min="2" max="5" width="14" customWidth="1"/>
    <col min="6" max="6" width="10" customWidth="1"/>
    <col min="7" max="7" width="13" customWidth="1"/>
    <col min="8" max="8" width="11" customWidth="1"/>
    <col min="9" max="10" width="10" customWidth="1"/>
    <col min="11" max="11" width="20" customWidth="1"/>
    <col min="12" max="12" width="10" customWidth="1"/>
    <col min="13" max="13" width="40" customWidth="1"/>
  </cols>
  <sheetData>
    <row r="1" spans="1:13" ht="33.75" customHeight="1" x14ac:dyDescent="0.35">
      <c r="A1" s="13" t="s">
        <v>61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5.75" customHeight="1" x14ac:dyDescent="0.35">
      <c r="A2" s="12" t="s">
        <v>62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4" spans="1:13" ht="21.75" customHeight="1" x14ac:dyDescent="0.35">
      <c r="A4" s="91" t="s">
        <v>63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</row>
    <row r="5" spans="1:13" ht="15" customHeight="1" x14ac:dyDescent="0.35">
      <c r="A5" s="54" t="s">
        <v>64</v>
      </c>
      <c r="B5" s="54" t="s">
        <v>65</v>
      </c>
      <c r="C5" s="54" t="s">
        <v>66</v>
      </c>
      <c r="D5" s="54" t="s">
        <v>67</v>
      </c>
    </row>
    <row r="6" spans="1:13" ht="15" customHeight="1" x14ac:dyDescent="0.35">
      <c r="A6" s="55" t="s">
        <v>68</v>
      </c>
      <c r="B6" s="56">
        <v>1.65</v>
      </c>
      <c r="C6" s="57" t="s">
        <v>69</v>
      </c>
      <c r="D6" s="58" t="s">
        <v>70</v>
      </c>
    </row>
    <row r="7" spans="1:13" ht="15" customHeight="1" x14ac:dyDescent="0.35">
      <c r="A7" s="59" t="s">
        <v>71</v>
      </c>
      <c r="B7" s="60">
        <v>180</v>
      </c>
      <c r="C7" s="61" t="s">
        <v>72</v>
      </c>
      <c r="D7" s="62" t="s">
        <v>73</v>
      </c>
    </row>
    <row r="8" spans="1:13" ht="15" customHeight="1" x14ac:dyDescent="0.35">
      <c r="A8" s="55" t="s">
        <v>74</v>
      </c>
      <c r="B8" s="63">
        <v>7.5</v>
      </c>
      <c r="C8" s="57" t="s">
        <v>75</v>
      </c>
      <c r="D8" s="58" t="s">
        <v>76</v>
      </c>
    </row>
    <row r="9" spans="1:13" ht="15" customHeight="1" x14ac:dyDescent="0.35">
      <c r="A9" s="59" t="s">
        <v>77</v>
      </c>
      <c r="B9" s="64">
        <v>0.82599999999999996</v>
      </c>
      <c r="C9" s="61" t="s">
        <v>78</v>
      </c>
      <c r="D9" s="62" t="s">
        <v>79</v>
      </c>
    </row>
    <row r="10" spans="1:13" ht="15" customHeight="1" x14ac:dyDescent="0.35">
      <c r="A10" s="55" t="s">
        <v>80</v>
      </c>
      <c r="B10" s="64">
        <v>2.1850000000000001</v>
      </c>
      <c r="C10" s="57" t="s">
        <v>78</v>
      </c>
      <c r="D10" s="58" t="s">
        <v>81</v>
      </c>
    </row>
    <row r="11" spans="1:13" ht="15" customHeight="1" x14ac:dyDescent="0.35">
      <c r="A11" s="59" t="s">
        <v>82</v>
      </c>
      <c r="B11" s="65">
        <v>8.2000000000000003E-2</v>
      </c>
      <c r="C11" s="61" t="s">
        <v>83</v>
      </c>
      <c r="D11" s="62" t="s">
        <v>84</v>
      </c>
    </row>
    <row r="12" spans="1:13" ht="15" customHeight="1" x14ac:dyDescent="0.35">
      <c r="A12" s="55" t="s">
        <v>85</v>
      </c>
      <c r="B12" s="65">
        <v>0.1</v>
      </c>
      <c r="C12" s="57" t="s">
        <v>83</v>
      </c>
      <c r="D12" s="58" t="s">
        <v>86</v>
      </c>
    </row>
    <row r="13" spans="1:13" ht="15" customHeight="1" x14ac:dyDescent="0.35">
      <c r="A13" s="59" t="s">
        <v>87</v>
      </c>
      <c r="B13" s="56">
        <v>6.3</v>
      </c>
      <c r="C13" s="61" t="s">
        <v>69</v>
      </c>
      <c r="D13" s="62" t="s">
        <v>88</v>
      </c>
    </row>
    <row r="14" spans="1:13" ht="15" customHeight="1" x14ac:dyDescent="0.35">
      <c r="A14" s="55" t="s">
        <v>89</v>
      </c>
      <c r="B14" s="65">
        <v>0.65</v>
      </c>
      <c r="C14" s="57" t="s">
        <v>83</v>
      </c>
      <c r="D14" s="58" t="s">
        <v>90</v>
      </c>
    </row>
    <row r="17" spans="1:13" ht="21.75" customHeight="1" x14ac:dyDescent="0.35">
      <c r="A17" s="91" t="s">
        <v>91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</row>
    <row r="18" spans="1:13" ht="36" customHeight="1" x14ac:dyDescent="0.35">
      <c r="A18" s="15" t="s">
        <v>13</v>
      </c>
      <c r="B18" s="15" t="s">
        <v>92</v>
      </c>
      <c r="C18" s="15" t="s">
        <v>93</v>
      </c>
      <c r="D18" s="15" t="s">
        <v>94</v>
      </c>
      <c r="E18" s="15" t="s">
        <v>95</v>
      </c>
      <c r="F18" s="15" t="s">
        <v>96</v>
      </c>
      <c r="G18" s="15" t="s">
        <v>97</v>
      </c>
      <c r="H18" s="15" t="s">
        <v>98</v>
      </c>
      <c r="I18" s="15" t="s">
        <v>99</v>
      </c>
      <c r="J18" s="15" t="s">
        <v>100</v>
      </c>
      <c r="K18" s="15" t="s">
        <v>101</v>
      </c>
      <c r="L18" s="15" t="s">
        <v>102</v>
      </c>
      <c r="M18" s="15" t="s">
        <v>25</v>
      </c>
    </row>
    <row r="19" spans="1:13" ht="15.75" customHeight="1" x14ac:dyDescent="0.35">
      <c r="A19" s="16" t="s">
        <v>26</v>
      </c>
      <c r="B19" s="23">
        <v>87271.15</v>
      </c>
      <c r="C19" s="66">
        <v>3493.1147777777801</v>
      </c>
      <c r="D19" s="19">
        <v>7.5</v>
      </c>
      <c r="E19" s="66">
        <v>286.43541177777797</v>
      </c>
      <c r="F19" s="18">
        <f>$B$6*286.44*SQRT(7.5)+$B$6*3493.11*$B$9</f>
        <v>6055.0992263171829</v>
      </c>
      <c r="G19" s="18">
        <f>3493.11*7.5+$B$6*286.44*SQRT(7.5)+$B$6*3493.11*$B$9</f>
        <v>32253.424226317184</v>
      </c>
      <c r="H19" s="17">
        <f>75607.42*$B$10*0.001</f>
        <v>165.20221270000002</v>
      </c>
      <c r="I19" s="19">
        <v>21.6</v>
      </c>
      <c r="J19" s="19">
        <v>25</v>
      </c>
      <c r="K19" s="22">
        <f>IF(21.6&gt;0,MIN(100,ROUND(25/21.6*100,0)),0)</f>
        <v>100</v>
      </c>
      <c r="L19" s="26" t="s">
        <v>103</v>
      </c>
      <c r="M19" s="16" t="s">
        <v>104</v>
      </c>
    </row>
    <row r="20" spans="1:13" ht="15.75" customHeight="1" x14ac:dyDescent="0.35">
      <c r="A20" s="27" t="s">
        <v>30</v>
      </c>
      <c r="B20" s="34">
        <v>46363.64</v>
      </c>
      <c r="C20" s="67">
        <v>1850.31038888889</v>
      </c>
      <c r="D20" s="30">
        <v>7.5</v>
      </c>
      <c r="E20" s="67">
        <v>151.72545188888901</v>
      </c>
      <c r="F20" s="29">
        <f>$B$6*151.73*SQRT(7.5)+$B$6*1850.31*$B$9</f>
        <v>3207.4115341146353</v>
      </c>
      <c r="G20" s="29">
        <f>1850.31*7.5+$B$6*151.73*SQRT(7.5)+$B$6*1850.31*$B$9</f>
        <v>17084.736534114632</v>
      </c>
      <c r="H20" s="28">
        <f>40131.21*$B$10*0.001</f>
        <v>87.686693849999997</v>
      </c>
      <c r="I20" s="30">
        <v>21.4</v>
      </c>
      <c r="J20" s="30">
        <v>23</v>
      </c>
      <c r="K20" s="33">
        <f>IF(21.4&gt;0,MIN(100,ROUND(23/21.4*100,0)),0)</f>
        <v>100</v>
      </c>
      <c r="L20" s="37" t="s">
        <v>105</v>
      </c>
      <c r="M20" s="27" t="s">
        <v>104</v>
      </c>
    </row>
    <row r="21" spans="1:13" ht="15.75" customHeight="1" x14ac:dyDescent="0.35">
      <c r="A21" s="16" t="s">
        <v>33</v>
      </c>
      <c r="B21" s="23">
        <v>23824.18</v>
      </c>
      <c r="C21" s="66">
        <v>954.32638888888903</v>
      </c>
      <c r="D21" s="19">
        <v>7.5</v>
      </c>
      <c r="E21" s="66">
        <v>78.254763888888903</v>
      </c>
      <c r="F21" s="18">
        <f>$B$6*78.25*SQRT(7.5)+$B$6*954.33*$B$9</f>
        <v>1654.2455005294287</v>
      </c>
      <c r="G21" s="18">
        <f>954.33*7.5+$B$6*78.25*SQRT(7.5)+$B$6*954.33*$B$9</f>
        <v>8811.720500529429</v>
      </c>
      <c r="H21" s="17">
        <f>20712.8*$B$10*0.001</f>
        <v>45.257468000000003</v>
      </c>
      <c r="I21" s="19">
        <v>21.6</v>
      </c>
      <c r="J21" s="19">
        <v>24</v>
      </c>
      <c r="K21" s="22">
        <f>IF(21.6&gt;0,MIN(100,ROUND(24/21.6*100,0)),0)</f>
        <v>100</v>
      </c>
      <c r="L21" s="26" t="s">
        <v>106</v>
      </c>
      <c r="M21" s="16" t="s">
        <v>104</v>
      </c>
    </row>
    <row r="22" spans="1:13" ht="15.75" customHeight="1" x14ac:dyDescent="0.35">
      <c r="A22" s="27" t="s">
        <v>35</v>
      </c>
      <c r="B22" s="34">
        <v>16581.09</v>
      </c>
      <c r="C22" s="67">
        <v>661.09338888888897</v>
      </c>
      <c r="D22" s="30">
        <v>7.5</v>
      </c>
      <c r="E22" s="67">
        <v>54.209657888888898</v>
      </c>
      <c r="F22" s="29">
        <f>$B$6*54.21*SQRT(7.5)+$B$6*661.09*$B$9</f>
        <v>1145.9588896994292</v>
      </c>
      <c r="G22" s="29">
        <f>661.09*7.5+$B$6*54.21*SQRT(7.5)+$B$6*661.09*$B$9</f>
        <v>6104.1338896994293</v>
      </c>
      <c r="H22" s="28">
        <f>14210.51*$B$10*0.001</f>
        <v>31.049964350000003</v>
      </c>
      <c r="I22" s="30">
        <v>21.6</v>
      </c>
      <c r="J22" s="30">
        <v>24</v>
      </c>
      <c r="K22" s="33">
        <f>IF(21.6&gt;0,MIN(100,ROUND(24/21.6*100,0)),0)</f>
        <v>100</v>
      </c>
      <c r="L22" s="37" t="s">
        <v>107</v>
      </c>
      <c r="M22" s="27" t="s">
        <v>104</v>
      </c>
    </row>
    <row r="23" spans="1:13" ht="15.75" customHeight="1" x14ac:dyDescent="0.35">
      <c r="A23" s="16" t="s">
        <v>37</v>
      </c>
      <c r="B23" s="23">
        <v>10959.94</v>
      </c>
      <c r="C23" s="66">
        <v>439.212444444445</v>
      </c>
      <c r="D23" s="19">
        <v>7.5</v>
      </c>
      <c r="E23" s="66">
        <v>36.015420444444501</v>
      </c>
      <c r="F23" s="18">
        <f>$B$6*36.02*SQRT(7.5)+$B$6*439.21*$B$9</f>
        <v>761.36328280102248</v>
      </c>
      <c r="G23" s="18">
        <f>439.21*7.5+$B$6*36.02*SQRT(7.5)+$B$6*439.21*$B$9</f>
        <v>4055.4382828010221</v>
      </c>
      <c r="H23" s="17">
        <f>9546.4*$B$10*0.001</f>
        <v>20.858884</v>
      </c>
      <c r="I23" s="19">
        <v>21.6</v>
      </c>
      <c r="J23" s="19">
        <v>24</v>
      </c>
      <c r="K23" s="22">
        <f>IF(21.6&gt;0,MIN(100,ROUND(24/21.6*100,0)),0)</f>
        <v>100</v>
      </c>
      <c r="L23" s="26" t="s">
        <v>108</v>
      </c>
      <c r="M23" s="16" t="s">
        <v>104</v>
      </c>
    </row>
    <row r="24" spans="1:13" ht="15" customHeight="1" x14ac:dyDescent="0.35">
      <c r="A24" s="41" t="s">
        <v>57</v>
      </c>
      <c r="B24" s="48">
        <f>SUM(B19:B23)</f>
        <v>184999.99999999997</v>
      </c>
      <c r="C24" s="68">
        <f>AVERAGE(C19:C23)</f>
        <v>1479.6114777777784</v>
      </c>
      <c r="D24" s="69">
        <f>AVERAGE(D19:D23)</f>
        <v>7.5</v>
      </c>
      <c r="E24" s="68">
        <f>AVERAGE(E19:E23)</f>
        <v>121.32814117777784</v>
      </c>
      <c r="F24" s="43">
        <f>SUM(F19:F23)</f>
        <v>12824.078433461698</v>
      </c>
      <c r="G24" s="43">
        <f>SUM(G19:G23)</f>
        <v>68309.453433461691</v>
      </c>
      <c r="H24" s="42">
        <f>SUM(H19:H23)</f>
        <v>350.05522289999999</v>
      </c>
      <c r="I24" s="69">
        <f>AVERAGE(I19:I23)</f>
        <v>21.559999999999995</v>
      </c>
      <c r="J24" s="69">
        <f>AVERAGE(J19:J23)</f>
        <v>24</v>
      </c>
      <c r="K24" s="70">
        <f>AVERAGE(K19:K23)</f>
        <v>100</v>
      </c>
      <c r="L24" s="53"/>
      <c r="M24" s="53" t="s">
        <v>109</v>
      </c>
    </row>
    <row r="27" spans="1:13" ht="21.75" customHeight="1" x14ac:dyDescent="0.35">
      <c r="A27" s="91" t="s">
        <v>110</v>
      </c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</row>
    <row r="28" spans="1:13" ht="30" customHeight="1" x14ac:dyDescent="0.35">
      <c r="A28" s="51" t="s">
        <v>111</v>
      </c>
      <c r="B28" s="51" t="s">
        <v>92</v>
      </c>
      <c r="C28" s="51" t="s">
        <v>112</v>
      </c>
      <c r="D28" s="51" t="s">
        <v>113</v>
      </c>
      <c r="E28" s="51" t="s">
        <v>114</v>
      </c>
      <c r="F28" s="51" t="s">
        <v>19</v>
      </c>
      <c r="G28" s="51" t="s">
        <v>115</v>
      </c>
      <c r="H28" s="51" t="s">
        <v>94</v>
      </c>
      <c r="I28" s="51" t="s">
        <v>116</v>
      </c>
      <c r="J28" s="51" t="s">
        <v>117</v>
      </c>
      <c r="K28" s="51" t="s">
        <v>118</v>
      </c>
      <c r="L28" s="51" t="s">
        <v>119</v>
      </c>
      <c r="M28" s="51" t="s">
        <v>25</v>
      </c>
    </row>
    <row r="29" spans="1:13" ht="15.75" customHeight="1" x14ac:dyDescent="0.35">
      <c r="A29" s="16" t="s">
        <v>120</v>
      </c>
      <c r="B29" s="17">
        <v>70448.89</v>
      </c>
      <c r="C29" s="18">
        <v>108674.88</v>
      </c>
      <c r="D29" s="18">
        <v>65321.69</v>
      </c>
      <c r="E29" s="18">
        <v>541914.91</v>
      </c>
      <c r="F29" s="21">
        <v>6.3</v>
      </c>
      <c r="G29" s="20">
        <v>0.1205</v>
      </c>
      <c r="H29" s="19">
        <v>4</v>
      </c>
      <c r="I29" s="71">
        <v>0</v>
      </c>
      <c r="J29" s="21">
        <v>0.52</v>
      </c>
      <c r="K29" s="72" t="s">
        <v>121</v>
      </c>
      <c r="L29" s="73" t="s">
        <v>122</v>
      </c>
    </row>
    <row r="30" spans="1:13" ht="15.75" customHeight="1" x14ac:dyDescent="0.35">
      <c r="A30" s="27" t="s">
        <v>123</v>
      </c>
      <c r="B30" s="28">
        <v>48156.97</v>
      </c>
      <c r="C30" s="29">
        <v>24586.89</v>
      </c>
      <c r="D30" s="29">
        <v>14708.55</v>
      </c>
      <c r="E30" s="29">
        <v>123479.35</v>
      </c>
      <c r="F30" s="32">
        <v>6.3</v>
      </c>
      <c r="G30" s="31">
        <v>0.1191</v>
      </c>
      <c r="H30" s="30">
        <v>7</v>
      </c>
      <c r="I30" s="74">
        <v>0</v>
      </c>
      <c r="J30" s="32">
        <v>0.82</v>
      </c>
      <c r="K30" s="75" t="s">
        <v>124</v>
      </c>
      <c r="L30" s="39" t="s">
        <v>125</v>
      </c>
    </row>
    <row r="31" spans="1:13" ht="15.75" customHeight="1" x14ac:dyDescent="0.35">
      <c r="A31" s="16" t="s">
        <v>126</v>
      </c>
      <c r="B31" s="17">
        <v>23938.65</v>
      </c>
      <c r="C31" s="18">
        <v>80434.23</v>
      </c>
      <c r="D31" s="18">
        <v>48516.03</v>
      </c>
      <c r="E31" s="18">
        <v>398977.51</v>
      </c>
      <c r="F31" s="21">
        <v>6.3</v>
      </c>
      <c r="G31" s="20">
        <v>0.1216</v>
      </c>
      <c r="H31" s="19">
        <v>8</v>
      </c>
      <c r="I31" s="71">
        <v>0.82599999999999996</v>
      </c>
      <c r="J31" s="21">
        <v>0.82</v>
      </c>
      <c r="K31" s="72" t="s">
        <v>124</v>
      </c>
      <c r="L31" s="76" t="s">
        <v>125</v>
      </c>
    </row>
    <row r="32" spans="1:13" ht="15.75" customHeight="1" x14ac:dyDescent="0.35">
      <c r="A32" s="27" t="s">
        <v>127</v>
      </c>
      <c r="B32" s="28">
        <v>18513.12</v>
      </c>
      <c r="C32" s="29">
        <v>7145.34</v>
      </c>
      <c r="D32" s="29">
        <v>4297.18</v>
      </c>
      <c r="E32" s="29">
        <v>35602.07</v>
      </c>
      <c r="F32" s="32">
        <v>6.3</v>
      </c>
      <c r="G32" s="31">
        <v>0.1207</v>
      </c>
      <c r="H32" s="30">
        <v>8</v>
      </c>
      <c r="I32" s="74">
        <v>0.82599999999999996</v>
      </c>
      <c r="J32" s="32">
        <v>0.87</v>
      </c>
      <c r="K32" s="75" t="s">
        <v>128</v>
      </c>
      <c r="L32" s="39" t="s">
        <v>125</v>
      </c>
    </row>
    <row r="33" spans="1:13" ht="15.75" customHeight="1" x14ac:dyDescent="0.35">
      <c r="A33" s="16" t="s">
        <v>129</v>
      </c>
      <c r="B33" s="17">
        <v>16587.75</v>
      </c>
      <c r="C33" s="18">
        <v>43790.44</v>
      </c>
      <c r="D33" s="18">
        <v>26096.85</v>
      </c>
      <c r="E33" s="18">
        <v>221169.96</v>
      </c>
      <c r="F33" s="21">
        <v>6.3</v>
      </c>
      <c r="G33" s="20">
        <v>0.11799999999999999</v>
      </c>
      <c r="H33" s="19">
        <v>9</v>
      </c>
      <c r="I33" s="71">
        <v>2.1850000000000001</v>
      </c>
      <c r="J33" s="21">
        <v>0.8</v>
      </c>
      <c r="K33" s="72" t="s">
        <v>130</v>
      </c>
      <c r="L33" s="25" t="s">
        <v>131</v>
      </c>
    </row>
    <row r="34" spans="1:13" ht="15.75" customHeight="1" x14ac:dyDescent="0.35">
      <c r="A34" s="27" t="s">
        <v>132</v>
      </c>
      <c r="B34" s="28">
        <v>7354.62</v>
      </c>
      <c r="C34" s="29">
        <v>2108.5700000000002</v>
      </c>
      <c r="D34" s="29">
        <v>1268.04</v>
      </c>
      <c r="E34" s="29">
        <v>10506.53</v>
      </c>
      <c r="F34" s="32">
        <v>6.3</v>
      </c>
      <c r="G34" s="31">
        <v>0.1207</v>
      </c>
      <c r="H34" s="30">
        <v>9</v>
      </c>
      <c r="I34" s="74">
        <v>2.1850000000000001</v>
      </c>
      <c r="J34" s="32">
        <v>0.9</v>
      </c>
      <c r="K34" s="75" t="s">
        <v>133</v>
      </c>
      <c r="L34" s="77" t="s">
        <v>131</v>
      </c>
    </row>
    <row r="35" spans="1:13" ht="15.75" customHeight="1" x14ac:dyDescent="0.35">
      <c r="A35" s="41" t="s">
        <v>57</v>
      </c>
      <c r="B35" s="42">
        <f>SUM(B29:B34)</f>
        <v>185000</v>
      </c>
      <c r="C35" s="43">
        <f>SUM(C29:C34)</f>
        <v>266740.35000000003</v>
      </c>
      <c r="D35" s="43">
        <f>SUM(D29:D34)</f>
        <v>160208.34000000003</v>
      </c>
      <c r="E35" s="43">
        <f>SUM(E29:E34)</f>
        <v>1331650.33</v>
      </c>
      <c r="F35" s="46">
        <f>AVERAGE(F29:F34)</f>
        <v>6.3</v>
      </c>
      <c r="G35" s="45">
        <f>AVERAGE(G29:G34)</f>
        <v>0.1201</v>
      </c>
      <c r="H35" s="44">
        <f>AVERAGE(H29:H34)</f>
        <v>7.5</v>
      </c>
      <c r="I35" s="78">
        <f>AVERAGE(I29:I34)</f>
        <v>1.0036666666666667</v>
      </c>
      <c r="J35" s="46">
        <f>AVERAGE(J29:J34)</f>
        <v>0.78833333333333344</v>
      </c>
      <c r="K35" s="79"/>
      <c r="L35" s="49"/>
      <c r="M35" s="50" t="s">
        <v>109</v>
      </c>
    </row>
    <row r="38" spans="1:13" ht="12.75" customHeight="1" x14ac:dyDescent="0.35">
      <c r="A38" s="92" t="s">
        <v>59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</row>
    <row r="39" spans="1:13" ht="12.75" customHeight="1" x14ac:dyDescent="0.35">
      <c r="A39" s="93" t="s">
        <v>60</v>
      </c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</row>
  </sheetData>
  <mergeCells count="7">
    <mergeCell ref="A38:M38"/>
    <mergeCell ref="A39:M39"/>
    <mergeCell ref="A1:M1"/>
    <mergeCell ref="A2:M2"/>
    <mergeCell ref="A4:M4"/>
    <mergeCell ref="A17:M17"/>
    <mergeCell ref="A27:M2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8962E"/>
  </sheetPr>
  <dimension ref="A1:N34"/>
  <sheetViews>
    <sheetView showGridLines="0" zoomScaleNormal="100" workbookViewId="0">
      <pane ySplit="5" topLeftCell="A6" activePane="bottomLeft" state="frozen"/>
      <selection pane="bottomLeft" sqref="A1:N1"/>
    </sheetView>
  </sheetViews>
  <sheetFormatPr defaultColWidth="8.6328125" defaultRowHeight="14.5" x14ac:dyDescent="0.35"/>
  <cols>
    <col min="1" max="1" width="28" customWidth="1"/>
    <col min="2" max="2" width="14" customWidth="1"/>
    <col min="3" max="3" width="11" customWidth="1"/>
    <col min="4" max="4" width="10" customWidth="1"/>
    <col min="5" max="5" width="11" customWidth="1"/>
    <col min="6" max="6" width="10" customWidth="1"/>
    <col min="7" max="8" width="13" customWidth="1"/>
    <col min="9" max="9" width="11" customWidth="1"/>
    <col min="10" max="10" width="14" customWidth="1"/>
    <col min="11" max="11" width="11" customWidth="1"/>
    <col min="12" max="13" width="40" customWidth="1"/>
  </cols>
  <sheetData>
    <row r="1" spans="1:14" ht="33.75" customHeight="1" x14ac:dyDescent="0.35">
      <c r="A1" s="13" t="s">
        <v>134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75" customHeight="1" x14ac:dyDescent="0.35">
      <c r="A2" s="12" t="s">
        <v>135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spans="1:14" ht="21.75" customHeight="1" x14ac:dyDescent="0.35">
      <c r="A4" s="91" t="s">
        <v>136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</row>
    <row r="5" spans="1:14" ht="36" customHeight="1" x14ac:dyDescent="0.35">
      <c r="A5" s="15" t="s">
        <v>111</v>
      </c>
      <c r="B5" s="15" t="s">
        <v>16</v>
      </c>
      <c r="C5" s="15" t="s">
        <v>137</v>
      </c>
      <c r="D5" s="15" t="s">
        <v>138</v>
      </c>
      <c r="E5" s="15" t="s">
        <v>139</v>
      </c>
      <c r="F5" s="15" t="s">
        <v>140</v>
      </c>
      <c r="G5" s="15" t="s">
        <v>17</v>
      </c>
      <c r="H5" s="15" t="s">
        <v>141</v>
      </c>
      <c r="I5" s="15" t="s">
        <v>142</v>
      </c>
      <c r="J5" s="15" t="s">
        <v>143</v>
      </c>
      <c r="K5" s="15" t="s">
        <v>144</v>
      </c>
      <c r="L5" s="15" t="s">
        <v>145</v>
      </c>
      <c r="M5" s="15" t="s">
        <v>25</v>
      </c>
    </row>
    <row r="6" spans="1:14" ht="19.5" customHeight="1" x14ac:dyDescent="0.35">
      <c r="A6" s="16" t="s">
        <v>120</v>
      </c>
      <c r="B6" s="19">
        <v>4</v>
      </c>
      <c r="C6" s="71">
        <v>0</v>
      </c>
      <c r="D6" s="22">
        <v>3</v>
      </c>
      <c r="E6" s="22">
        <v>5</v>
      </c>
      <c r="F6" s="71">
        <f>0/4</f>
        <v>0</v>
      </c>
      <c r="G6" s="20">
        <v>0.93400000000000005</v>
      </c>
      <c r="H6" s="18">
        <v>34798.33</v>
      </c>
      <c r="I6" s="17">
        <f>34798.33*70448.89/1331650</f>
        <v>1840.9519936572674</v>
      </c>
      <c r="J6" s="38" t="s">
        <v>28</v>
      </c>
      <c r="K6" s="26" t="s">
        <v>146</v>
      </c>
      <c r="L6" s="26" t="s">
        <v>147</v>
      </c>
      <c r="M6" s="26" t="s">
        <v>148</v>
      </c>
    </row>
    <row r="7" spans="1:14" ht="19.5" customHeight="1" x14ac:dyDescent="0.35">
      <c r="A7" s="27" t="s">
        <v>123</v>
      </c>
      <c r="B7" s="30">
        <v>7</v>
      </c>
      <c r="C7" s="74">
        <v>0</v>
      </c>
      <c r="D7" s="33">
        <v>6</v>
      </c>
      <c r="E7" s="33">
        <v>8</v>
      </c>
      <c r="F7" s="74">
        <f>0/7</f>
        <v>0</v>
      </c>
      <c r="G7" s="31">
        <v>0.93400000000000005</v>
      </c>
      <c r="H7" s="29">
        <v>7988.17</v>
      </c>
      <c r="I7" s="28">
        <f>7988.17*48156.97/1331650</f>
        <v>288.87925734607444</v>
      </c>
      <c r="J7" s="39" t="s">
        <v>125</v>
      </c>
      <c r="K7" s="37" t="s">
        <v>149</v>
      </c>
      <c r="L7" s="37" t="s">
        <v>150</v>
      </c>
      <c r="M7" s="37" t="s">
        <v>148</v>
      </c>
    </row>
    <row r="8" spans="1:14" ht="19.5" customHeight="1" x14ac:dyDescent="0.35">
      <c r="A8" s="16" t="s">
        <v>126</v>
      </c>
      <c r="B8" s="19">
        <v>8</v>
      </c>
      <c r="C8" s="71">
        <v>0.82599999999999996</v>
      </c>
      <c r="D8" s="22">
        <v>6</v>
      </c>
      <c r="E8" s="22">
        <v>10</v>
      </c>
      <c r="F8" s="71">
        <f>0.826/8</f>
        <v>0.10324999999999999</v>
      </c>
      <c r="G8" s="20">
        <v>0.93400000000000005</v>
      </c>
      <c r="H8" s="18">
        <v>25679.09</v>
      </c>
      <c r="I8" s="17">
        <f>25679.09*23938.65/1331650</f>
        <v>461.62486225997827</v>
      </c>
      <c r="J8" s="76" t="s">
        <v>125</v>
      </c>
      <c r="K8" s="26" t="s">
        <v>151</v>
      </c>
      <c r="L8" s="26" t="s">
        <v>152</v>
      </c>
      <c r="M8" s="26" t="s">
        <v>148</v>
      </c>
    </row>
    <row r="9" spans="1:14" ht="19.5" customHeight="1" x14ac:dyDescent="0.35">
      <c r="A9" s="27" t="s">
        <v>127</v>
      </c>
      <c r="B9" s="30">
        <v>8</v>
      </c>
      <c r="C9" s="74">
        <v>0.82599999999999996</v>
      </c>
      <c r="D9" s="33">
        <v>6</v>
      </c>
      <c r="E9" s="33">
        <v>10</v>
      </c>
      <c r="F9" s="74">
        <f>0.826/8</f>
        <v>0.10324999999999999</v>
      </c>
      <c r="G9" s="31">
        <v>0.93400000000000005</v>
      </c>
      <c r="H9" s="29">
        <v>2296.89</v>
      </c>
      <c r="I9" s="28">
        <f>2296.89*18513.12/1331650</f>
        <v>31.932264631697514</v>
      </c>
      <c r="J9" s="39" t="s">
        <v>125</v>
      </c>
      <c r="K9" s="37" t="s">
        <v>153</v>
      </c>
      <c r="L9" s="37" t="s">
        <v>154</v>
      </c>
      <c r="M9" s="37" t="s">
        <v>148</v>
      </c>
    </row>
    <row r="10" spans="1:14" ht="19.5" customHeight="1" x14ac:dyDescent="0.35">
      <c r="A10" s="16" t="s">
        <v>129</v>
      </c>
      <c r="B10" s="19">
        <v>9</v>
      </c>
      <c r="C10" s="71">
        <v>2.1850000000000001</v>
      </c>
      <c r="D10" s="22">
        <v>5</v>
      </c>
      <c r="E10" s="22">
        <v>14</v>
      </c>
      <c r="F10" s="71">
        <f>2.185/9</f>
        <v>0.24277777777777779</v>
      </c>
      <c r="G10" s="20">
        <v>0.93400000000000005</v>
      </c>
      <c r="H10" s="18">
        <v>14296.66</v>
      </c>
      <c r="I10" s="17">
        <f>14296.66*16587.75/1331650</f>
        <v>178.08690114895055</v>
      </c>
      <c r="J10" s="25" t="s">
        <v>131</v>
      </c>
      <c r="K10" s="26" t="s">
        <v>155</v>
      </c>
      <c r="L10" s="26" t="s">
        <v>156</v>
      </c>
      <c r="M10" s="26" t="s">
        <v>148</v>
      </c>
    </row>
    <row r="11" spans="1:14" ht="19.5" customHeight="1" x14ac:dyDescent="0.35">
      <c r="A11" s="27" t="s">
        <v>132</v>
      </c>
      <c r="B11" s="30">
        <v>9</v>
      </c>
      <c r="C11" s="74">
        <v>2.1850000000000001</v>
      </c>
      <c r="D11" s="33">
        <v>5</v>
      </c>
      <c r="E11" s="33">
        <v>14</v>
      </c>
      <c r="F11" s="74">
        <f>2.185/9</f>
        <v>0.24277777777777779</v>
      </c>
      <c r="G11" s="31">
        <v>0.93400000000000005</v>
      </c>
      <c r="H11" s="29">
        <v>677.65</v>
      </c>
      <c r="I11" s="28">
        <f>677.65*7354.62/1331650</f>
        <v>3.7426187384072391</v>
      </c>
      <c r="J11" s="77" t="s">
        <v>131</v>
      </c>
      <c r="K11" s="37" t="s">
        <v>157</v>
      </c>
      <c r="L11" s="37" t="s">
        <v>158</v>
      </c>
      <c r="M11" s="37" t="s">
        <v>148</v>
      </c>
    </row>
    <row r="12" spans="1:14" ht="15" customHeight="1" x14ac:dyDescent="0.35">
      <c r="A12" s="41" t="s">
        <v>159</v>
      </c>
      <c r="B12" s="44">
        <f>AVERAGE(B6:B11)</f>
        <v>7.5</v>
      </c>
      <c r="C12" s="78">
        <f>AVERAGE(C6:C11)</f>
        <v>1.0036666666666667</v>
      </c>
      <c r="D12" s="47">
        <f>MIN(D6:D11)</f>
        <v>3</v>
      </c>
      <c r="E12" s="47">
        <f>MAX(E6:E11)</f>
        <v>14</v>
      </c>
      <c r="F12" s="78">
        <f>AVERAGE(F6:F11)</f>
        <v>0.11534259259259259</v>
      </c>
      <c r="G12" s="45">
        <f>AVERAGE(G6:G11)</f>
        <v>0.93400000000000005</v>
      </c>
      <c r="H12" s="80">
        <f>SUM(H6:H11)</f>
        <v>85736.79</v>
      </c>
      <c r="I12" s="81">
        <f>SUM(I6:I11)</f>
        <v>2805.2178977823751</v>
      </c>
      <c r="J12" s="49"/>
      <c r="K12" s="49"/>
      <c r="L12" s="49"/>
      <c r="M12" s="49" t="s">
        <v>109</v>
      </c>
    </row>
    <row r="15" spans="1:14" ht="21.75" customHeight="1" x14ac:dyDescent="0.35">
      <c r="A15" s="91" t="s">
        <v>160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</row>
    <row r="16" spans="1:14" ht="27.75" customHeight="1" x14ac:dyDescent="0.35">
      <c r="A16" s="51" t="s">
        <v>42</v>
      </c>
      <c r="B16" s="51" t="s">
        <v>161</v>
      </c>
      <c r="C16" s="51" t="s">
        <v>17</v>
      </c>
      <c r="D16" s="51" t="s">
        <v>18</v>
      </c>
      <c r="E16" s="51" t="s">
        <v>162</v>
      </c>
      <c r="F16" s="51" t="s">
        <v>163</v>
      </c>
      <c r="G16" s="51" t="s">
        <v>164</v>
      </c>
      <c r="H16" s="51" t="s">
        <v>165</v>
      </c>
      <c r="I16" s="51" t="s">
        <v>25</v>
      </c>
    </row>
    <row r="17" spans="1:14" ht="15" customHeight="1" x14ac:dyDescent="0.35">
      <c r="A17" s="24" t="s">
        <v>49</v>
      </c>
      <c r="B17" s="18">
        <v>206279.11</v>
      </c>
      <c r="C17" s="20">
        <v>0.93400000000000005</v>
      </c>
      <c r="D17" s="18">
        <v>13221.51</v>
      </c>
      <c r="E17" s="20">
        <f t="shared" ref="E17:E23" si="0">D17/B17</f>
        <v>6.4095244545121416E-2</v>
      </c>
      <c r="F17" s="18">
        <f>SUM($B$17:B17)</f>
        <v>206279.11</v>
      </c>
      <c r="G17" s="20" t="s">
        <v>50</v>
      </c>
      <c r="H17" s="20">
        <f t="shared" ref="H17:H23" si="1">C17-0.94</f>
        <v>-5.9999999999998943E-3</v>
      </c>
      <c r="I17" s="16" t="s">
        <v>166</v>
      </c>
    </row>
    <row r="18" spans="1:14" ht="15" customHeight="1" x14ac:dyDescent="0.35">
      <c r="A18" s="35" t="s">
        <v>52</v>
      </c>
      <c r="B18" s="29">
        <v>191846.15</v>
      </c>
      <c r="C18" s="31">
        <v>0.93400000000000005</v>
      </c>
      <c r="D18" s="29">
        <v>12457.97</v>
      </c>
      <c r="E18" s="31">
        <f t="shared" si="0"/>
        <v>6.4937294806280965E-2</v>
      </c>
      <c r="F18" s="29">
        <f>SUM($B$17:B18)</f>
        <v>398125.26</v>
      </c>
      <c r="G18" s="31">
        <f>(B18-B17)/B17</f>
        <v>-6.9968112621777323E-2</v>
      </c>
      <c r="H18" s="31">
        <f t="shared" si="1"/>
        <v>-5.9999999999998943E-3</v>
      </c>
      <c r="I18" s="27" t="s">
        <v>166</v>
      </c>
    </row>
    <row r="19" spans="1:14" ht="15" customHeight="1" x14ac:dyDescent="0.35">
      <c r="A19" s="24" t="s">
        <v>53</v>
      </c>
      <c r="B19" s="18">
        <v>220232.18</v>
      </c>
      <c r="C19" s="20">
        <v>0.93400000000000005</v>
      </c>
      <c r="D19" s="18">
        <v>14207.72</v>
      </c>
      <c r="E19" s="20">
        <f t="shared" si="0"/>
        <v>6.4512461348745678E-2</v>
      </c>
      <c r="F19" s="18">
        <f>SUM($B$17:B19)</f>
        <v>618357.43999999994</v>
      </c>
      <c r="G19" s="20">
        <f>(B19-B18)/B18</f>
        <v>0.14796246888457235</v>
      </c>
      <c r="H19" s="20">
        <f t="shared" si="1"/>
        <v>-5.9999999999998943E-3</v>
      </c>
      <c r="I19" s="16" t="s">
        <v>166</v>
      </c>
    </row>
    <row r="20" spans="1:14" ht="15" customHeight="1" x14ac:dyDescent="0.35">
      <c r="A20" s="35" t="s">
        <v>54</v>
      </c>
      <c r="B20" s="29">
        <v>219560.89</v>
      </c>
      <c r="C20" s="31">
        <v>0.93400000000000005</v>
      </c>
      <c r="D20" s="29">
        <v>14101.6</v>
      </c>
      <c r="E20" s="31">
        <f t="shared" si="0"/>
        <v>6.4226374742787751E-2</v>
      </c>
      <c r="F20" s="29">
        <f>SUM($B$17:B20)</f>
        <v>837918.33</v>
      </c>
      <c r="G20" s="31">
        <f>(B20-B19)/B19</f>
        <v>-3.0481013265181277E-3</v>
      </c>
      <c r="H20" s="31">
        <f t="shared" si="1"/>
        <v>-5.9999999999998943E-3</v>
      </c>
      <c r="I20" s="27" t="s">
        <v>166</v>
      </c>
    </row>
    <row r="21" spans="1:14" ht="15" customHeight="1" x14ac:dyDescent="0.35">
      <c r="A21" s="24" t="s">
        <v>55</v>
      </c>
      <c r="B21" s="18">
        <v>239579.61</v>
      </c>
      <c r="C21" s="20">
        <v>0.93400000000000005</v>
      </c>
      <c r="D21" s="18">
        <v>15524.21</v>
      </c>
      <c r="E21" s="20">
        <f t="shared" si="0"/>
        <v>6.4797709621448998E-2</v>
      </c>
      <c r="F21" s="18">
        <f>SUM($B$17:B21)</f>
        <v>1077497.94</v>
      </c>
      <c r="G21" s="20">
        <f>(B21-B20)/B20</f>
        <v>9.117616529974884E-2</v>
      </c>
      <c r="H21" s="20">
        <f t="shared" si="1"/>
        <v>-5.9999999999998943E-3</v>
      </c>
      <c r="I21" s="16" t="s">
        <v>166</v>
      </c>
    </row>
    <row r="22" spans="1:14" ht="15" customHeight="1" x14ac:dyDescent="0.35">
      <c r="A22" s="35" t="s">
        <v>56</v>
      </c>
      <c r="B22" s="29">
        <v>254152.39</v>
      </c>
      <c r="C22" s="31">
        <v>0.93400000000000005</v>
      </c>
      <c r="D22" s="29">
        <v>16223.78</v>
      </c>
      <c r="E22" s="31">
        <f t="shared" si="0"/>
        <v>6.3834851208757079E-2</v>
      </c>
      <c r="F22" s="29">
        <f>SUM($B$17:B22)</f>
        <v>1331650.33</v>
      </c>
      <c r="G22" s="31">
        <f>(B22-B21)/B21</f>
        <v>6.0826461817848475E-2</v>
      </c>
      <c r="H22" s="31">
        <f t="shared" si="1"/>
        <v>-5.9999999999998943E-3</v>
      </c>
      <c r="I22" s="27" t="s">
        <v>166</v>
      </c>
    </row>
    <row r="23" spans="1:14" ht="15" customHeight="1" x14ac:dyDescent="0.35">
      <c r="A23" s="49" t="s">
        <v>57</v>
      </c>
      <c r="B23" s="43">
        <f>SUM(B17:B22)</f>
        <v>1331650.33</v>
      </c>
      <c r="C23" s="52">
        <f>AVERAGE(C17:C22)</f>
        <v>0.93400000000000005</v>
      </c>
      <c r="D23" s="43">
        <f>SUM(D17:D22)</f>
        <v>85736.79</v>
      </c>
      <c r="E23" s="52">
        <f t="shared" si="0"/>
        <v>6.43838611897464E-2</v>
      </c>
      <c r="F23" s="43">
        <f>B23</f>
        <v>1331650.33</v>
      </c>
      <c r="G23" s="53"/>
      <c r="H23" s="52">
        <f t="shared" si="1"/>
        <v>-5.9999999999998943E-3</v>
      </c>
      <c r="I23" s="53" t="s">
        <v>58</v>
      </c>
    </row>
    <row r="26" spans="1:14" ht="21.75" customHeight="1" x14ac:dyDescent="0.35">
      <c r="A26" s="91" t="s">
        <v>167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</row>
    <row r="27" spans="1:14" ht="30" customHeight="1" x14ac:dyDescent="0.35">
      <c r="A27" s="51" t="s">
        <v>168</v>
      </c>
      <c r="B27" s="51" t="s">
        <v>15</v>
      </c>
      <c r="C27" s="51" t="s">
        <v>16</v>
      </c>
      <c r="D27" s="51" t="s">
        <v>17</v>
      </c>
      <c r="E27" s="51" t="s">
        <v>18</v>
      </c>
      <c r="F27" s="51" t="s">
        <v>20</v>
      </c>
      <c r="G27" s="51" t="s">
        <v>169</v>
      </c>
      <c r="H27" s="51" t="s">
        <v>170</v>
      </c>
      <c r="I27" s="51" t="s">
        <v>171</v>
      </c>
      <c r="J27" s="51" t="s">
        <v>14</v>
      </c>
      <c r="K27" s="51" t="s">
        <v>117</v>
      </c>
      <c r="L27" s="51" t="s">
        <v>172</v>
      </c>
      <c r="M27" s="51" t="s">
        <v>25</v>
      </c>
    </row>
    <row r="28" spans="1:14" ht="18" customHeight="1" x14ac:dyDescent="0.35">
      <c r="A28" s="16" t="s">
        <v>173</v>
      </c>
      <c r="B28" s="18">
        <v>444394.5</v>
      </c>
      <c r="C28" s="19">
        <v>6.5</v>
      </c>
      <c r="D28" s="20">
        <v>0.93400000000000005</v>
      </c>
      <c r="E28" s="20">
        <v>6.4399999999999999E-2</v>
      </c>
      <c r="F28" s="19">
        <v>21.9</v>
      </c>
      <c r="G28" s="20">
        <v>0.65</v>
      </c>
      <c r="H28" s="22">
        <f>ROUND(G28*(8.5/C28)*100,0)</f>
        <v>85</v>
      </c>
      <c r="I28" s="19">
        <f>ROUND(D28*(1-F28/30)*G28*100,1)</f>
        <v>16.399999999999999</v>
      </c>
      <c r="J28" s="23">
        <v>63800</v>
      </c>
      <c r="K28" s="21">
        <v>0.71</v>
      </c>
      <c r="L28" s="26" t="s">
        <v>174</v>
      </c>
      <c r="M28" s="16" t="s">
        <v>104</v>
      </c>
    </row>
    <row r="29" spans="1:14" ht="18" customHeight="1" x14ac:dyDescent="0.35">
      <c r="A29" s="27" t="s">
        <v>175</v>
      </c>
      <c r="B29" s="29">
        <v>442947.48</v>
      </c>
      <c r="C29" s="30">
        <v>7.5</v>
      </c>
      <c r="D29" s="31">
        <v>0.93400000000000005</v>
      </c>
      <c r="E29" s="31">
        <v>6.4500000000000002E-2</v>
      </c>
      <c r="F29" s="30">
        <v>21.4</v>
      </c>
      <c r="G29" s="31">
        <v>0.4</v>
      </c>
      <c r="H29" s="33">
        <f>ROUND(G29*(8.5/C29)*100,0)</f>
        <v>45</v>
      </c>
      <c r="I29" s="30">
        <f>ROUND(D29*(1-F29/30)*G29*100,1)</f>
        <v>10.7</v>
      </c>
      <c r="J29" s="34">
        <v>60700</v>
      </c>
      <c r="K29" s="32">
        <v>0.71</v>
      </c>
      <c r="L29" s="37" t="s">
        <v>176</v>
      </c>
      <c r="M29" s="27" t="s">
        <v>104</v>
      </c>
    </row>
    <row r="30" spans="1:14" ht="18" customHeight="1" x14ac:dyDescent="0.35">
      <c r="A30" s="16" t="s">
        <v>177</v>
      </c>
      <c r="B30" s="18">
        <v>444308.35</v>
      </c>
      <c r="C30" s="19">
        <v>8.5</v>
      </c>
      <c r="D30" s="20">
        <v>0.93400000000000005</v>
      </c>
      <c r="E30" s="20">
        <v>6.4299999999999996E-2</v>
      </c>
      <c r="F30" s="19">
        <v>21.6</v>
      </c>
      <c r="G30" s="20">
        <v>0.52</v>
      </c>
      <c r="H30" s="22">
        <f>ROUND(G30*(8.5/C30)*100,0)</f>
        <v>52</v>
      </c>
      <c r="I30" s="19">
        <f>ROUND(D30*(1-F30/30)*G30*100,1)</f>
        <v>13.6</v>
      </c>
      <c r="J30" s="23">
        <v>60500</v>
      </c>
      <c r="K30" s="21">
        <v>0.71</v>
      </c>
      <c r="L30" s="26" t="s">
        <v>178</v>
      </c>
      <c r="M30" s="16" t="s">
        <v>104</v>
      </c>
    </row>
    <row r="33" spans="1:13" ht="12.75" customHeight="1" x14ac:dyDescent="0.35">
      <c r="A33" s="92" t="s">
        <v>59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</row>
    <row r="34" spans="1:13" ht="12.75" customHeight="1" x14ac:dyDescent="0.35">
      <c r="A34" s="93" t="s">
        <v>60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</row>
  </sheetData>
  <mergeCells count="7">
    <mergeCell ref="A33:M33"/>
    <mergeCell ref="A34:M34"/>
    <mergeCell ref="A1:N1"/>
    <mergeCell ref="A2:N2"/>
    <mergeCell ref="A4:N4"/>
    <mergeCell ref="A15:N15"/>
    <mergeCell ref="A26:N2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6B3C"/>
  </sheetPr>
  <dimension ref="A1:L34"/>
  <sheetViews>
    <sheetView showGridLines="0" zoomScaleNormal="100" workbookViewId="0">
      <pane ySplit="15" topLeftCell="A16" activePane="bottomLeft" state="frozen"/>
      <selection pane="bottomLeft" sqref="A1:L1"/>
    </sheetView>
  </sheetViews>
  <sheetFormatPr defaultColWidth="8.6328125" defaultRowHeight="14.5" x14ac:dyDescent="0.35"/>
  <cols>
    <col min="1" max="1" width="4" customWidth="1"/>
    <col min="2" max="2" width="40" customWidth="1"/>
    <col min="3" max="3" width="14" customWidth="1"/>
    <col min="4" max="4" width="16" customWidth="1"/>
    <col min="5" max="5" width="14" customWidth="1"/>
    <col min="6" max="6" width="16" customWidth="1"/>
    <col min="7" max="8" width="10" customWidth="1"/>
    <col min="9" max="9" width="18" customWidth="1"/>
    <col min="10" max="10" width="38" customWidth="1"/>
  </cols>
  <sheetData>
    <row r="1" spans="1:12" ht="33.75" customHeight="1" x14ac:dyDescent="0.35">
      <c r="A1" s="13" t="s">
        <v>179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.75" customHeight="1" x14ac:dyDescent="0.35">
      <c r="A2" s="12" t="s">
        <v>180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1:12" ht="21.75" customHeight="1" x14ac:dyDescent="0.35">
      <c r="A4" s="91" t="s">
        <v>181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</row>
    <row r="5" spans="1:12" ht="30" customHeight="1" x14ac:dyDescent="0.35">
      <c r="A5" s="15" t="s">
        <v>13</v>
      </c>
      <c r="B5" s="15" t="s">
        <v>21</v>
      </c>
      <c r="C5" s="15" t="s">
        <v>14</v>
      </c>
      <c r="D5" s="15" t="s">
        <v>22</v>
      </c>
      <c r="E5" s="15" t="s">
        <v>43</v>
      </c>
      <c r="F5" s="15" t="s">
        <v>44</v>
      </c>
      <c r="G5" s="15" t="s">
        <v>182</v>
      </c>
      <c r="H5" s="15" t="s">
        <v>23</v>
      </c>
      <c r="I5" s="15" t="s">
        <v>183</v>
      </c>
      <c r="J5" s="15" t="s">
        <v>184</v>
      </c>
      <c r="K5" s="15" t="s">
        <v>25</v>
      </c>
    </row>
    <row r="6" spans="1:12" ht="18" customHeight="1" x14ac:dyDescent="0.35">
      <c r="A6" s="16" t="s">
        <v>26</v>
      </c>
      <c r="B6" s="22">
        <v>15</v>
      </c>
      <c r="C6" s="17">
        <v>87271.15</v>
      </c>
      <c r="D6" s="17">
        <v>5818</v>
      </c>
      <c r="E6" s="17">
        <v>25087.360000000001</v>
      </c>
      <c r="F6" s="20">
        <v>0.28770000000000001</v>
      </c>
      <c r="G6" s="20">
        <v>0.47170000000000001</v>
      </c>
      <c r="H6" s="25" t="s">
        <v>27</v>
      </c>
      <c r="I6" s="24" t="s">
        <v>125</v>
      </c>
      <c r="J6" s="26" t="s">
        <v>185</v>
      </c>
    </row>
    <row r="7" spans="1:12" ht="18" customHeight="1" x14ac:dyDescent="0.35">
      <c r="A7" s="27" t="s">
        <v>30</v>
      </c>
      <c r="B7" s="33">
        <v>6</v>
      </c>
      <c r="C7" s="28">
        <v>46363.64</v>
      </c>
      <c r="D7" s="28">
        <v>7727</v>
      </c>
      <c r="E7" s="28">
        <v>13347.39</v>
      </c>
      <c r="F7" s="31">
        <v>0.28789999999999999</v>
      </c>
      <c r="G7" s="31">
        <v>0.25059999999999999</v>
      </c>
      <c r="H7" s="36" t="s">
        <v>31</v>
      </c>
      <c r="I7" s="35" t="s">
        <v>122</v>
      </c>
      <c r="J7" s="37" t="s">
        <v>186</v>
      </c>
    </row>
    <row r="8" spans="1:12" ht="18" customHeight="1" x14ac:dyDescent="0.35">
      <c r="A8" s="16" t="s">
        <v>33</v>
      </c>
      <c r="B8" s="22">
        <v>9</v>
      </c>
      <c r="C8" s="17">
        <v>23824.18</v>
      </c>
      <c r="D8" s="17">
        <v>2647</v>
      </c>
      <c r="E8" s="17">
        <v>6862.56</v>
      </c>
      <c r="F8" s="20">
        <v>0.28799999999999998</v>
      </c>
      <c r="G8" s="20">
        <v>0.1288</v>
      </c>
      <c r="H8" s="73" t="s">
        <v>31</v>
      </c>
      <c r="I8" s="24" t="s">
        <v>122</v>
      </c>
      <c r="J8" s="26" t="s">
        <v>187</v>
      </c>
    </row>
    <row r="9" spans="1:12" ht="18" customHeight="1" x14ac:dyDescent="0.35">
      <c r="A9" s="27" t="s">
        <v>35</v>
      </c>
      <c r="B9" s="33">
        <v>6</v>
      </c>
      <c r="C9" s="28">
        <v>16581.09</v>
      </c>
      <c r="D9" s="28">
        <v>2764</v>
      </c>
      <c r="E9" s="28">
        <v>4764.08</v>
      </c>
      <c r="F9" s="31">
        <v>0.2873</v>
      </c>
      <c r="G9" s="31">
        <v>8.9599999999999999E-2</v>
      </c>
      <c r="H9" s="36" t="s">
        <v>31</v>
      </c>
      <c r="I9" s="35" t="s">
        <v>125</v>
      </c>
      <c r="J9" s="37" t="s">
        <v>188</v>
      </c>
    </row>
    <row r="10" spans="1:12" ht="18" customHeight="1" x14ac:dyDescent="0.35">
      <c r="A10" s="16" t="s">
        <v>37</v>
      </c>
      <c r="B10" s="22">
        <v>9</v>
      </c>
      <c r="C10" s="17">
        <v>10959.94</v>
      </c>
      <c r="D10" s="17">
        <v>1218</v>
      </c>
      <c r="E10" s="17">
        <v>3151.01</v>
      </c>
      <c r="F10" s="20">
        <v>0.28749999999999998</v>
      </c>
      <c r="G10" s="20">
        <v>5.9200000000000003E-2</v>
      </c>
      <c r="H10" s="73" t="s">
        <v>31</v>
      </c>
      <c r="I10" s="24" t="s">
        <v>125</v>
      </c>
      <c r="J10" s="26" t="s">
        <v>189</v>
      </c>
    </row>
    <row r="11" spans="1:12" ht="18" customHeight="1" x14ac:dyDescent="0.35">
      <c r="A11" s="41" t="s">
        <v>57</v>
      </c>
      <c r="B11" s="47">
        <f>SUM(B6:B10)</f>
        <v>45</v>
      </c>
      <c r="C11" s="42">
        <f>SUM(C6:C10)</f>
        <v>184999.99999999997</v>
      </c>
      <c r="D11" s="42">
        <f>SUM(D6:D10)/SUM(B6:B10)</f>
        <v>448.31111111111113</v>
      </c>
      <c r="E11" s="42">
        <f>SUM(E6:E10)</f>
        <v>53212.4</v>
      </c>
      <c r="F11" s="45">
        <f>E11/C11</f>
        <v>0.28763459459459467</v>
      </c>
      <c r="G11" s="45">
        <f>SUM(G6:G10)</f>
        <v>0.99990000000000001</v>
      </c>
      <c r="H11" s="49"/>
      <c r="I11" s="49"/>
      <c r="J11" s="50" t="s">
        <v>109</v>
      </c>
    </row>
    <row r="14" spans="1:12" ht="21.75" customHeight="1" x14ac:dyDescent="0.35">
      <c r="A14" s="91" t="s">
        <v>190</v>
      </c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</row>
    <row r="15" spans="1:12" ht="27.75" customHeight="1" x14ac:dyDescent="0.35">
      <c r="A15" s="51" t="s">
        <v>191</v>
      </c>
      <c r="B15" s="51" t="s">
        <v>192</v>
      </c>
      <c r="C15" s="51" t="s">
        <v>193</v>
      </c>
      <c r="D15" s="51" t="s">
        <v>13</v>
      </c>
      <c r="E15" s="51" t="s">
        <v>14</v>
      </c>
      <c r="F15" s="51" t="s">
        <v>43</v>
      </c>
      <c r="G15" s="51" t="s">
        <v>44</v>
      </c>
      <c r="H15" s="51" t="s">
        <v>182</v>
      </c>
      <c r="I15" s="51" t="s">
        <v>194</v>
      </c>
      <c r="J15" s="51" t="s">
        <v>25</v>
      </c>
    </row>
    <row r="16" spans="1:12" ht="13.5" customHeight="1" x14ac:dyDescent="0.35">
      <c r="A16" s="22">
        <v>1</v>
      </c>
      <c r="B16" s="82" t="s">
        <v>195</v>
      </c>
      <c r="C16" s="16" t="s">
        <v>196</v>
      </c>
      <c r="D16" s="16" t="s">
        <v>30</v>
      </c>
      <c r="E16" s="17">
        <v>13722.26</v>
      </c>
      <c r="F16" s="17">
        <v>3943.87</v>
      </c>
      <c r="G16" s="20">
        <v>0.28749999999999998</v>
      </c>
      <c r="H16" s="20">
        <v>7.4099999999999999E-2</v>
      </c>
      <c r="I16" s="16" t="s">
        <v>197</v>
      </c>
      <c r="J16" s="16" t="s">
        <v>198</v>
      </c>
    </row>
    <row r="17" spans="1:10" ht="13.5" customHeight="1" x14ac:dyDescent="0.35">
      <c r="A17" s="33">
        <v>2</v>
      </c>
      <c r="B17" s="83" t="s">
        <v>199</v>
      </c>
      <c r="C17" s="27" t="s">
        <v>196</v>
      </c>
      <c r="D17" s="27" t="s">
        <v>30</v>
      </c>
      <c r="E17" s="28">
        <v>13604.45</v>
      </c>
      <c r="F17" s="28">
        <v>3923.15</v>
      </c>
      <c r="G17" s="31">
        <v>0.28839999999999999</v>
      </c>
      <c r="H17" s="31">
        <v>7.3499999999999996E-2</v>
      </c>
      <c r="I17" s="27" t="s">
        <v>197</v>
      </c>
      <c r="J17" s="27" t="s">
        <v>198</v>
      </c>
    </row>
    <row r="18" spans="1:10" ht="13.5" customHeight="1" x14ac:dyDescent="0.35">
      <c r="A18" s="22">
        <v>3</v>
      </c>
      <c r="B18" s="82" t="s">
        <v>200</v>
      </c>
      <c r="C18" s="16" t="s">
        <v>196</v>
      </c>
      <c r="D18" s="16" t="s">
        <v>30</v>
      </c>
      <c r="E18" s="17">
        <v>13540.09</v>
      </c>
      <c r="F18" s="17">
        <v>3928.59</v>
      </c>
      <c r="G18" s="20">
        <v>0.29010000000000002</v>
      </c>
      <c r="H18" s="20">
        <v>7.3200000000000001E-2</v>
      </c>
      <c r="I18" s="16" t="s">
        <v>201</v>
      </c>
      <c r="J18" s="16" t="s">
        <v>198</v>
      </c>
    </row>
    <row r="19" spans="1:10" ht="13.5" customHeight="1" x14ac:dyDescent="0.35">
      <c r="A19" s="33">
        <v>4</v>
      </c>
      <c r="B19" s="83" t="s">
        <v>202</v>
      </c>
      <c r="C19" s="27" t="s">
        <v>203</v>
      </c>
      <c r="D19" s="27" t="s">
        <v>26</v>
      </c>
      <c r="E19" s="28">
        <v>11094.62</v>
      </c>
      <c r="F19" s="28">
        <v>3180.23</v>
      </c>
      <c r="G19" s="31">
        <v>0.28660000000000002</v>
      </c>
      <c r="H19" s="31">
        <v>0.06</v>
      </c>
      <c r="I19" s="27" t="s">
        <v>201</v>
      </c>
      <c r="J19" s="27" t="s">
        <v>198</v>
      </c>
    </row>
    <row r="20" spans="1:10" ht="13.5" customHeight="1" x14ac:dyDescent="0.35">
      <c r="A20" s="22">
        <v>5</v>
      </c>
      <c r="B20" s="82" t="s">
        <v>204</v>
      </c>
      <c r="C20" s="16" t="s">
        <v>203</v>
      </c>
      <c r="D20" s="16" t="s">
        <v>26</v>
      </c>
      <c r="E20" s="17">
        <v>11029.4</v>
      </c>
      <c r="F20" s="17">
        <v>3169.27</v>
      </c>
      <c r="G20" s="20">
        <v>0.2873</v>
      </c>
      <c r="H20" s="20">
        <v>5.96E-2</v>
      </c>
      <c r="I20" s="16" t="s">
        <v>197</v>
      </c>
      <c r="J20" s="16" t="s">
        <v>198</v>
      </c>
    </row>
    <row r="21" spans="1:10" ht="13.5" customHeight="1" x14ac:dyDescent="0.35">
      <c r="A21" s="33">
        <v>6</v>
      </c>
      <c r="B21" s="83" t="s">
        <v>205</v>
      </c>
      <c r="C21" s="27" t="s">
        <v>203</v>
      </c>
      <c r="D21" s="27" t="s">
        <v>26</v>
      </c>
      <c r="E21" s="28">
        <v>10952.22</v>
      </c>
      <c r="F21" s="28">
        <v>3144.99</v>
      </c>
      <c r="G21" s="31">
        <v>0.28720000000000001</v>
      </c>
      <c r="H21" s="31">
        <v>5.9200000000000003E-2</v>
      </c>
      <c r="I21" s="27" t="s">
        <v>197</v>
      </c>
      <c r="J21" s="27" t="s">
        <v>198</v>
      </c>
    </row>
    <row r="22" spans="1:10" ht="13.5" customHeight="1" x14ac:dyDescent="0.35">
      <c r="A22" s="22">
        <v>7</v>
      </c>
      <c r="B22" s="82" t="s">
        <v>204</v>
      </c>
      <c r="C22" s="16" t="s">
        <v>206</v>
      </c>
      <c r="D22" s="16" t="s">
        <v>26</v>
      </c>
      <c r="E22" s="17">
        <v>8618.09</v>
      </c>
      <c r="F22" s="17">
        <v>2481.64</v>
      </c>
      <c r="G22" s="20">
        <v>0.28799999999999998</v>
      </c>
      <c r="H22" s="20">
        <v>4.6600000000000003E-2</v>
      </c>
      <c r="I22" s="16" t="s">
        <v>197</v>
      </c>
      <c r="J22" s="16" t="s">
        <v>198</v>
      </c>
    </row>
    <row r="23" spans="1:10" ht="13.5" customHeight="1" x14ac:dyDescent="0.35">
      <c r="A23" s="33">
        <v>8</v>
      </c>
      <c r="B23" s="83" t="s">
        <v>205</v>
      </c>
      <c r="C23" s="27" t="s">
        <v>206</v>
      </c>
      <c r="D23" s="27" t="s">
        <v>26</v>
      </c>
      <c r="E23" s="28">
        <v>8574.41</v>
      </c>
      <c r="F23" s="28">
        <v>2483.52</v>
      </c>
      <c r="G23" s="31">
        <v>0.28949999999999998</v>
      </c>
      <c r="H23" s="31">
        <v>4.6300000000000001E-2</v>
      </c>
      <c r="I23" s="27" t="s">
        <v>197</v>
      </c>
      <c r="J23" s="27" t="s">
        <v>198</v>
      </c>
    </row>
    <row r="24" spans="1:10" ht="13.5" customHeight="1" x14ac:dyDescent="0.35">
      <c r="A24" s="22">
        <v>9</v>
      </c>
      <c r="B24" s="82" t="s">
        <v>202</v>
      </c>
      <c r="C24" s="16" t="s">
        <v>206</v>
      </c>
      <c r="D24" s="16" t="s">
        <v>26</v>
      </c>
      <c r="E24" s="17">
        <v>8569.32</v>
      </c>
      <c r="F24" s="17">
        <v>2445.11</v>
      </c>
      <c r="G24" s="20">
        <v>0.28539999999999999</v>
      </c>
      <c r="H24" s="20">
        <v>4.6300000000000001E-2</v>
      </c>
      <c r="I24" s="16" t="s">
        <v>201</v>
      </c>
      <c r="J24" s="16" t="s">
        <v>198</v>
      </c>
    </row>
    <row r="25" spans="1:10" ht="13.5" customHeight="1" x14ac:dyDescent="0.35">
      <c r="A25" s="33">
        <v>10</v>
      </c>
      <c r="B25" s="83" t="s">
        <v>204</v>
      </c>
      <c r="C25" s="27" t="s">
        <v>207</v>
      </c>
      <c r="D25" s="27" t="s">
        <v>26</v>
      </c>
      <c r="E25" s="28">
        <v>4945.8</v>
      </c>
      <c r="F25" s="28">
        <v>1422.04</v>
      </c>
      <c r="G25" s="31">
        <v>0.28770000000000001</v>
      </c>
      <c r="H25" s="31">
        <v>2.6700000000000002E-2</v>
      </c>
      <c r="I25" s="27" t="s">
        <v>197</v>
      </c>
      <c r="J25" s="27" t="s">
        <v>198</v>
      </c>
    </row>
    <row r="26" spans="1:10" ht="13.5" customHeight="1" x14ac:dyDescent="0.35">
      <c r="A26" s="22">
        <v>11</v>
      </c>
      <c r="B26" s="82" t="s">
        <v>205</v>
      </c>
      <c r="C26" s="16" t="s">
        <v>207</v>
      </c>
      <c r="D26" s="16" t="s">
        <v>26</v>
      </c>
      <c r="E26" s="17">
        <v>4914.9799999999996</v>
      </c>
      <c r="F26" s="17">
        <v>1417.11</v>
      </c>
      <c r="G26" s="20">
        <v>0.28849999999999998</v>
      </c>
      <c r="H26" s="20">
        <v>2.6599999999999999E-2</v>
      </c>
      <c r="I26" s="16" t="s">
        <v>197</v>
      </c>
      <c r="J26" s="16" t="s">
        <v>198</v>
      </c>
    </row>
    <row r="27" spans="1:10" ht="13.5" customHeight="1" x14ac:dyDescent="0.35">
      <c r="A27" s="33">
        <v>12</v>
      </c>
      <c r="B27" s="83" t="s">
        <v>202</v>
      </c>
      <c r="C27" s="27" t="s">
        <v>207</v>
      </c>
      <c r="D27" s="27" t="s">
        <v>26</v>
      </c>
      <c r="E27" s="28">
        <v>4879.21</v>
      </c>
      <c r="F27" s="28">
        <v>1409.78</v>
      </c>
      <c r="G27" s="31">
        <v>0.28910000000000002</v>
      </c>
      <c r="H27" s="31">
        <v>2.64E-2</v>
      </c>
      <c r="I27" s="27" t="s">
        <v>201</v>
      </c>
      <c r="J27" s="27" t="s">
        <v>198</v>
      </c>
    </row>
    <row r="28" spans="1:10" ht="13.5" customHeight="1" x14ac:dyDescent="0.35">
      <c r="A28" s="22">
        <v>13</v>
      </c>
      <c r="B28" s="82" t="s">
        <v>208</v>
      </c>
      <c r="C28" s="16" t="s">
        <v>209</v>
      </c>
      <c r="D28" s="16" t="s">
        <v>33</v>
      </c>
      <c r="E28" s="17">
        <v>3675.98</v>
      </c>
      <c r="F28" s="17">
        <v>1055.31</v>
      </c>
      <c r="G28" s="20">
        <v>0.28689999999999999</v>
      </c>
      <c r="H28" s="20">
        <v>1.9900000000000001E-2</v>
      </c>
      <c r="I28" s="16" t="s">
        <v>197</v>
      </c>
      <c r="J28" s="16" t="s">
        <v>198</v>
      </c>
    </row>
    <row r="29" spans="1:10" ht="13.5" customHeight="1" x14ac:dyDescent="0.35">
      <c r="A29" s="33">
        <v>14</v>
      </c>
      <c r="B29" s="83" t="s">
        <v>210</v>
      </c>
      <c r="C29" s="27" t="s">
        <v>209</v>
      </c>
      <c r="D29" s="27" t="s">
        <v>33</v>
      </c>
      <c r="E29" s="28">
        <v>3670.95</v>
      </c>
      <c r="F29" s="28">
        <v>1068.5899999999999</v>
      </c>
      <c r="G29" s="31">
        <v>0.29099999999999998</v>
      </c>
      <c r="H29" s="31">
        <v>1.9800000000000002E-2</v>
      </c>
      <c r="I29" s="27" t="s">
        <v>197</v>
      </c>
      <c r="J29" s="27" t="s">
        <v>198</v>
      </c>
    </row>
    <row r="30" spans="1:10" ht="13.5" customHeight="1" x14ac:dyDescent="0.35">
      <c r="A30" s="22">
        <v>15</v>
      </c>
      <c r="B30" s="82" t="s">
        <v>211</v>
      </c>
      <c r="C30" s="16" t="s">
        <v>209</v>
      </c>
      <c r="D30" s="16" t="s">
        <v>33</v>
      </c>
      <c r="E30" s="17">
        <v>3661.95</v>
      </c>
      <c r="F30" s="17">
        <v>1060.57</v>
      </c>
      <c r="G30" s="20">
        <v>0.28960000000000002</v>
      </c>
      <c r="H30" s="20">
        <v>1.9800000000000002E-2</v>
      </c>
      <c r="I30" s="16" t="s">
        <v>201</v>
      </c>
      <c r="J30" s="16" t="s">
        <v>198</v>
      </c>
    </row>
    <row r="33" spans="1:10" ht="12.75" customHeight="1" x14ac:dyDescent="0.35">
      <c r="A33" s="92" t="s">
        <v>59</v>
      </c>
      <c r="B33" s="92"/>
      <c r="C33" s="92"/>
      <c r="D33" s="92"/>
      <c r="E33" s="92"/>
      <c r="F33" s="92"/>
      <c r="G33" s="92"/>
      <c r="H33" s="92"/>
      <c r="I33" s="92"/>
      <c r="J33" s="92"/>
    </row>
    <row r="34" spans="1:10" ht="12.75" customHeight="1" x14ac:dyDescent="0.35">
      <c r="A34" s="93" t="s">
        <v>60</v>
      </c>
      <c r="B34" s="93"/>
      <c r="C34" s="93"/>
      <c r="D34" s="93"/>
      <c r="E34" s="93"/>
      <c r="F34" s="93"/>
      <c r="G34" s="93"/>
      <c r="H34" s="93"/>
      <c r="I34" s="93"/>
      <c r="J34" s="93"/>
    </row>
  </sheetData>
  <mergeCells count="6">
    <mergeCell ref="A34:J34"/>
    <mergeCell ref="A1:L1"/>
    <mergeCell ref="A2:L2"/>
    <mergeCell ref="A4:L4"/>
    <mergeCell ref="A14:L14"/>
    <mergeCell ref="A33:J3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B7A9B"/>
  </sheetPr>
  <dimension ref="A1:F15"/>
  <sheetViews>
    <sheetView showGridLines="0" zoomScaleNormal="100" workbookViewId="0"/>
  </sheetViews>
  <sheetFormatPr defaultColWidth="8.6328125" defaultRowHeight="14.5" x14ac:dyDescent="0.35"/>
  <cols>
    <col min="1" max="1" width="38" customWidth="1"/>
    <col min="2" max="2" width="70" customWidth="1"/>
    <col min="3" max="3" width="44" customWidth="1"/>
    <col min="4" max="4" width="20" customWidth="1"/>
    <col min="5" max="5" width="26" customWidth="1"/>
    <col min="6" max="6" width="14" customWidth="1"/>
  </cols>
  <sheetData>
    <row r="1" spans="1:6" ht="33.75" customHeight="1" x14ac:dyDescent="0.35">
      <c r="A1" s="13" t="s">
        <v>212</v>
      </c>
      <c r="B1" s="13"/>
      <c r="C1" s="13"/>
      <c r="D1" s="13"/>
      <c r="E1" s="13"/>
      <c r="F1" s="13"/>
    </row>
    <row r="3" spans="1:6" ht="15" customHeight="1" x14ac:dyDescent="0.35">
      <c r="A3" s="84" t="s">
        <v>213</v>
      </c>
      <c r="B3" s="84" t="s">
        <v>214</v>
      </c>
      <c r="C3" s="84" t="s">
        <v>215</v>
      </c>
      <c r="D3" s="84" t="s">
        <v>216</v>
      </c>
      <c r="E3" s="84" t="s">
        <v>217</v>
      </c>
      <c r="F3" s="84" t="s">
        <v>218</v>
      </c>
    </row>
    <row r="4" spans="1:6" ht="25.5" customHeight="1" x14ac:dyDescent="0.35">
      <c r="A4" s="85" t="s">
        <v>219</v>
      </c>
      <c r="B4" s="85" t="s">
        <v>220</v>
      </c>
      <c r="C4" s="85" t="s">
        <v>221</v>
      </c>
      <c r="D4" s="85" t="s">
        <v>222</v>
      </c>
      <c r="E4" s="85" t="s">
        <v>223</v>
      </c>
      <c r="F4" s="85" t="s">
        <v>56</v>
      </c>
    </row>
    <row r="5" spans="1:6" ht="25.5" customHeight="1" x14ac:dyDescent="0.35">
      <c r="A5" s="86" t="s">
        <v>224</v>
      </c>
      <c r="B5" s="86" t="s">
        <v>225</v>
      </c>
      <c r="C5" s="86" t="s">
        <v>226</v>
      </c>
      <c r="D5" s="86" t="s">
        <v>227</v>
      </c>
      <c r="E5" s="86" t="s">
        <v>228</v>
      </c>
      <c r="F5" s="86" t="s">
        <v>56</v>
      </c>
    </row>
    <row r="6" spans="1:6" ht="25.5" customHeight="1" x14ac:dyDescent="0.35">
      <c r="A6" s="85" t="s">
        <v>229</v>
      </c>
      <c r="B6" s="85" t="s">
        <v>230</v>
      </c>
      <c r="C6" s="85" t="s">
        <v>231</v>
      </c>
      <c r="D6" s="85" t="s">
        <v>227</v>
      </c>
      <c r="E6" s="85" t="s">
        <v>223</v>
      </c>
      <c r="F6" s="85" t="s">
        <v>56</v>
      </c>
    </row>
    <row r="7" spans="1:6" ht="25.5" customHeight="1" x14ac:dyDescent="0.35">
      <c r="A7" s="86" t="s">
        <v>232</v>
      </c>
      <c r="B7" s="86" t="s">
        <v>233</v>
      </c>
      <c r="C7" s="86" t="s">
        <v>234</v>
      </c>
      <c r="D7" s="86" t="s">
        <v>227</v>
      </c>
      <c r="E7" s="86" t="s">
        <v>235</v>
      </c>
      <c r="F7" s="86" t="s">
        <v>56</v>
      </c>
    </row>
    <row r="8" spans="1:6" ht="25.5" customHeight="1" x14ac:dyDescent="0.35">
      <c r="A8" s="85" t="s">
        <v>236</v>
      </c>
      <c r="B8" s="85" t="s">
        <v>237</v>
      </c>
      <c r="C8" s="85" t="s">
        <v>238</v>
      </c>
      <c r="D8" s="85" t="s">
        <v>239</v>
      </c>
      <c r="E8" s="85" t="s">
        <v>240</v>
      </c>
      <c r="F8" s="85" t="s">
        <v>56</v>
      </c>
    </row>
    <row r="9" spans="1:6" ht="25.5" customHeight="1" x14ac:dyDescent="0.35">
      <c r="A9" s="86" t="s">
        <v>241</v>
      </c>
      <c r="B9" s="86" t="s">
        <v>242</v>
      </c>
      <c r="C9" s="86" t="s">
        <v>243</v>
      </c>
      <c r="D9" s="86" t="s">
        <v>239</v>
      </c>
      <c r="E9" s="86" t="s">
        <v>244</v>
      </c>
      <c r="F9" s="86" t="s">
        <v>56</v>
      </c>
    </row>
    <row r="10" spans="1:6" ht="25.5" customHeight="1" x14ac:dyDescent="0.35">
      <c r="A10" s="85" t="s">
        <v>245</v>
      </c>
      <c r="B10" s="85" t="s">
        <v>246</v>
      </c>
      <c r="C10" s="85" t="s">
        <v>247</v>
      </c>
      <c r="D10" s="85" t="s">
        <v>239</v>
      </c>
      <c r="E10" s="85" t="s">
        <v>240</v>
      </c>
      <c r="F10" s="85" t="s">
        <v>56</v>
      </c>
    </row>
    <row r="11" spans="1:6" ht="25.5" customHeight="1" x14ac:dyDescent="0.35">
      <c r="A11" s="86" t="s">
        <v>248</v>
      </c>
      <c r="B11" s="86" t="s">
        <v>249</v>
      </c>
      <c r="C11" s="86" t="s">
        <v>250</v>
      </c>
      <c r="D11" s="86" t="s">
        <v>239</v>
      </c>
      <c r="E11" s="86" t="s">
        <v>251</v>
      </c>
      <c r="F11" s="86" t="s">
        <v>56</v>
      </c>
    </row>
    <row r="12" spans="1:6" ht="25.5" customHeight="1" x14ac:dyDescent="0.35">
      <c r="A12" s="85" t="s">
        <v>252</v>
      </c>
      <c r="B12" s="85" t="s">
        <v>253</v>
      </c>
      <c r="C12" s="85" t="s">
        <v>254</v>
      </c>
      <c r="D12" s="85" t="s">
        <v>255</v>
      </c>
      <c r="E12" s="85" t="s">
        <v>256</v>
      </c>
      <c r="F12" s="85" t="s">
        <v>56</v>
      </c>
    </row>
    <row r="14" spans="1:6" ht="12.75" customHeight="1" x14ac:dyDescent="0.35">
      <c r="A14" s="92" t="s">
        <v>59</v>
      </c>
      <c r="B14" s="92"/>
      <c r="C14" s="92"/>
      <c r="D14" s="92"/>
      <c r="E14" s="92"/>
      <c r="F14" s="92"/>
    </row>
    <row r="15" spans="1:6" ht="12.75" customHeight="1" x14ac:dyDescent="0.35">
      <c r="A15" s="93" t="s">
        <v>60</v>
      </c>
      <c r="B15" s="93"/>
      <c r="C15" s="93"/>
      <c r="D15" s="93"/>
      <c r="E15" s="93"/>
      <c r="F15" s="93"/>
    </row>
  </sheetData>
  <mergeCells count="3">
    <mergeCell ref="A1:F1"/>
    <mergeCell ref="A14:F14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Inventory &amp; Safety Stock</vt:lpstr>
      <vt:lpstr>Lead Time &amp; Bottleneck</vt:lpstr>
      <vt:lpstr>DC Branch Performance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Rahima Akter Dity</cp:lastModifiedBy>
  <cp:revision>0</cp:revision>
  <dcterms:created xsi:type="dcterms:W3CDTF">2026-06-29T08:31:56Z</dcterms:created>
  <dcterms:modified xsi:type="dcterms:W3CDTF">2026-07-05T02:49:49Z</dcterms:modified>
  <dc:language>en-US</dc:language>
</cp:coreProperties>
</file>